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ardo\Videos\Elegoo\Lesson11\Documents\"/>
    </mc:Choice>
  </mc:AlternateContent>
  <bookViews>
    <workbookView xWindow="0" yWindow="0" windowWidth="18825" windowHeight="10860"/>
  </bookViews>
  <sheets>
    <sheet name="Common" sheetId="1" r:id="rId1"/>
    <sheet name="Unique" sheetId="3" r:id="rId2"/>
    <sheet name="Sheet2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3" l="1"/>
  <c r="B5" i="3" s="1"/>
  <c r="E16" i="3"/>
  <c r="D16" i="3"/>
  <c r="C16" i="3"/>
  <c r="F15" i="3"/>
  <c r="E15" i="3"/>
  <c r="D15" i="3"/>
  <c r="C15" i="3"/>
  <c r="F14" i="3"/>
  <c r="E14" i="3"/>
  <c r="D14" i="3"/>
  <c r="C14" i="3"/>
  <c r="F13" i="3"/>
  <c r="E13" i="3"/>
  <c r="D13" i="3"/>
  <c r="C13" i="3"/>
  <c r="G4" i="1"/>
  <c r="E8" i="1"/>
  <c r="B8" i="3" l="1"/>
  <c r="B7" i="3"/>
  <c r="C20" i="3"/>
  <c r="C26" i="3" s="1"/>
  <c r="C22" i="3"/>
  <c r="C28" i="3" s="1"/>
  <c r="D23" i="3"/>
  <c r="D29" i="3" s="1"/>
  <c r="F21" i="3"/>
  <c r="F27" i="3" s="1"/>
  <c r="E20" i="3"/>
  <c r="E26" i="3" s="1"/>
  <c r="E21" i="3"/>
  <c r="E27" i="3" s="1"/>
  <c r="F20" i="3"/>
  <c r="F26" i="3" s="1"/>
  <c r="F22" i="3"/>
  <c r="F28" i="3" s="1"/>
  <c r="D22" i="3"/>
  <c r="D28" i="3" s="1"/>
  <c r="E22" i="3"/>
  <c r="E28" i="3" s="1"/>
  <c r="D20" i="3"/>
  <c r="D26" i="3" s="1"/>
  <c r="C23" i="3"/>
  <c r="C29" i="3" s="1"/>
  <c r="F23" i="3"/>
  <c r="F29" i="3" s="1"/>
  <c r="E23" i="3"/>
  <c r="E29" i="3" s="1"/>
  <c r="C21" i="3"/>
  <c r="C27" i="3" s="1"/>
  <c r="B6" i="3"/>
  <c r="D21" i="3"/>
  <c r="L3" i="2" a="1"/>
  <c r="L3" i="2" s="1"/>
  <c r="L4" i="2" a="1"/>
  <c r="L4" i="2" s="1"/>
  <c r="L2" i="2" a="1"/>
  <c r="L2" i="2" s="1"/>
  <c r="D8" i="1"/>
  <c r="D6" i="1"/>
  <c r="E6" i="1"/>
  <c r="I13" i="1"/>
  <c r="L16" i="1"/>
  <c r="L15" i="1"/>
  <c r="L14" i="1"/>
  <c r="L13" i="1"/>
  <c r="K16" i="1"/>
  <c r="K15" i="1"/>
  <c r="K14" i="1"/>
  <c r="K13" i="1"/>
  <c r="J16" i="1"/>
  <c r="J15" i="1"/>
  <c r="J14" i="1"/>
  <c r="J13" i="1"/>
  <c r="I16" i="1"/>
  <c r="I15" i="1"/>
  <c r="I14" i="1"/>
  <c r="F15" i="1"/>
  <c r="F22" i="1" s="1"/>
  <c r="F28" i="1" s="1"/>
  <c r="F16" i="1"/>
  <c r="F23" i="1" s="1"/>
  <c r="F29" i="1" s="1"/>
  <c r="E16" i="1"/>
  <c r="E23" i="1" s="1"/>
  <c r="E29" i="1" s="1"/>
  <c r="E15" i="1"/>
  <c r="E22" i="1" s="1"/>
  <c r="E28" i="1" s="1"/>
  <c r="D16" i="1"/>
  <c r="D23" i="1" s="1"/>
  <c r="D29" i="1" s="1"/>
  <c r="D15" i="1"/>
  <c r="D22" i="1" s="1"/>
  <c r="D28" i="1" s="1"/>
  <c r="C16" i="1"/>
  <c r="C23" i="1" s="1"/>
  <c r="C29" i="1" s="1"/>
  <c r="C15" i="1"/>
  <c r="C22" i="1" s="1"/>
  <c r="C28" i="1" s="1"/>
  <c r="F14" i="1"/>
  <c r="F21" i="1" s="1"/>
  <c r="F27" i="1" s="1"/>
  <c r="E14" i="1"/>
  <c r="E21" i="1" s="1"/>
  <c r="E27" i="1" s="1"/>
  <c r="D14" i="1"/>
  <c r="D21" i="1" s="1"/>
  <c r="D27" i="1" s="1"/>
  <c r="C14" i="1"/>
  <c r="C21" i="1" s="1"/>
  <c r="C27" i="1" s="1"/>
  <c r="F13" i="1"/>
  <c r="F20" i="1" s="1"/>
  <c r="F26" i="1" s="1"/>
  <c r="E13" i="1"/>
  <c r="E20" i="1" s="1"/>
  <c r="E26" i="1" s="1"/>
  <c r="D13" i="1"/>
  <c r="D20" i="1" s="1"/>
  <c r="D26" i="1" s="1"/>
  <c r="C13" i="1"/>
  <c r="C20" i="1" s="1"/>
  <c r="C26" i="1" s="1"/>
  <c r="G33" i="1"/>
  <c r="G32" i="1"/>
  <c r="G24" i="3"/>
  <c r="G31" i="1"/>
  <c r="G24" i="1"/>
  <c r="L13" i="3" l="1"/>
  <c r="K16" i="3"/>
  <c r="J13" i="3"/>
  <c r="I14" i="3"/>
  <c r="K14" i="3"/>
  <c r="L15" i="3"/>
  <c r="I16" i="3"/>
  <c r="F17" i="3"/>
  <c r="J15" i="3"/>
  <c r="I15" i="3"/>
  <c r="I13" i="3"/>
  <c r="J16" i="3"/>
  <c r="L14" i="3"/>
  <c r="K15" i="3"/>
  <c r="K13" i="3"/>
  <c r="L16" i="3"/>
  <c r="J14" i="3"/>
  <c r="D27" i="3"/>
  <c r="D7" i="1"/>
  <c r="D9" i="1"/>
  <c r="E7" i="1"/>
  <c r="E9" i="1"/>
  <c r="O13" i="1"/>
  <c r="I21" i="1"/>
  <c r="I27" i="1" s="1"/>
  <c r="O14" i="1"/>
  <c r="K21" i="1"/>
  <c r="K27" i="1" s="1"/>
  <c r="Q14" i="1"/>
  <c r="K22" i="1"/>
  <c r="K28" i="1" s="1"/>
  <c r="Q15" i="1"/>
  <c r="I23" i="1"/>
  <c r="I29" i="1" s="1"/>
  <c r="O16" i="1"/>
  <c r="K23" i="1"/>
  <c r="K29" i="1" s="1"/>
  <c r="Q16" i="1"/>
  <c r="J20" i="1"/>
  <c r="J26" i="1" s="1"/>
  <c r="P13" i="1"/>
  <c r="L20" i="1"/>
  <c r="L26" i="1" s="1"/>
  <c r="R13" i="1"/>
  <c r="I22" i="1"/>
  <c r="I28" i="1" s="1"/>
  <c r="O15" i="1"/>
  <c r="J21" i="1"/>
  <c r="J27" i="1" s="1"/>
  <c r="P14" i="1"/>
  <c r="L21" i="1"/>
  <c r="L27" i="1" s="1"/>
  <c r="R14" i="1"/>
  <c r="J22" i="1"/>
  <c r="J28" i="1" s="1"/>
  <c r="P15" i="1"/>
  <c r="L22" i="1"/>
  <c r="L28" i="1" s="1"/>
  <c r="R15" i="1"/>
  <c r="J23" i="1"/>
  <c r="J29" i="1" s="1"/>
  <c r="P16" i="1"/>
  <c r="L23" i="1"/>
  <c r="R16" i="1"/>
  <c r="K20" i="1"/>
  <c r="K26" i="1" s="1"/>
  <c r="Q13" i="1"/>
  <c r="I20" i="1"/>
  <c r="I26" i="1" s="1"/>
  <c r="G31" i="3"/>
  <c r="G33" i="3"/>
  <c r="G32" i="3"/>
  <c r="M24" i="1"/>
  <c r="L29" i="3" l="1"/>
  <c r="L27" i="3"/>
  <c r="K29" i="3"/>
  <c r="K27" i="3"/>
  <c r="J29" i="3"/>
  <c r="J27" i="3"/>
  <c r="I29" i="3"/>
  <c r="I27" i="3"/>
  <c r="L28" i="3"/>
  <c r="L26" i="3"/>
  <c r="J28" i="3"/>
  <c r="K28" i="3"/>
  <c r="K26" i="3"/>
  <c r="I26" i="3"/>
  <c r="I28" i="3"/>
  <c r="J26" i="3"/>
  <c r="L29" i="1"/>
  <c r="M32" i="1"/>
  <c r="M33" i="1"/>
  <c r="M31" i="1"/>
  <c r="P29" i="1" l="1"/>
  <c r="P27" i="1"/>
  <c r="O29" i="1"/>
  <c r="O27" i="1"/>
  <c r="R26" i="1"/>
  <c r="O28" i="1"/>
  <c r="R27" i="1"/>
  <c r="Q29" i="1"/>
  <c r="R28" i="1"/>
  <c r="Q28" i="1"/>
  <c r="Q26" i="1"/>
  <c r="P28" i="1"/>
  <c r="P26" i="1"/>
  <c r="O26" i="1"/>
  <c r="R29" i="1"/>
  <c r="Q27" i="1"/>
</calcChain>
</file>

<file path=xl/sharedStrings.xml><?xml version="1.0" encoding="utf-8"?>
<sst xmlns="http://schemas.openxmlformats.org/spreadsheetml/2006/main" count="185" uniqueCount="38">
  <si>
    <t>Voltage</t>
  </si>
  <si>
    <t>R0</t>
  </si>
  <si>
    <t>R1</t>
  </si>
  <si>
    <t>R2</t>
  </si>
  <si>
    <t>R3</t>
  </si>
  <si>
    <t>C0</t>
  </si>
  <si>
    <t>C2</t>
  </si>
  <si>
    <t>C3</t>
  </si>
  <si>
    <t>C1</t>
  </si>
  <si>
    <t>Row R</t>
  </si>
  <si>
    <t>Col R</t>
  </si>
  <si>
    <t>Vo max</t>
  </si>
  <si>
    <t>Resistance</t>
  </si>
  <si>
    <t>Imin</t>
  </si>
  <si>
    <t>Duplicates</t>
  </si>
  <si>
    <t>Differences</t>
  </si>
  <si>
    <t>Min difference</t>
  </si>
  <si>
    <t>Count</t>
  </si>
  <si>
    <t>ohms</t>
  </si>
  <si>
    <t>volts</t>
  </si>
  <si>
    <t>Imax</t>
  </si>
  <si>
    <t>amps</t>
  </si>
  <si>
    <t>Analog</t>
  </si>
  <si>
    <t>differences</t>
  </si>
  <si>
    <t>Last two values</t>
  </si>
  <si>
    <r>
      <t>Total R</t>
    </r>
    <r>
      <rPr>
        <vertAlign val="subscript"/>
        <sz val="11"/>
        <color theme="1"/>
        <rFont val="Calibri"/>
        <family val="2"/>
        <scheme val="minor"/>
      </rPr>
      <t>L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</si>
  <si>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U </t>
    </r>
    <r>
      <rPr>
        <sz val="11"/>
        <color theme="1"/>
        <rFont val="Calibri"/>
        <family val="2"/>
        <scheme val="minor"/>
      </rPr>
      <t>&lt;= Total R</t>
    </r>
    <r>
      <rPr>
        <vertAlign val="subscript"/>
        <sz val="11"/>
        <color theme="1"/>
        <rFont val="Calibri"/>
        <family val="2"/>
        <scheme val="minor"/>
      </rPr>
      <t>L</t>
    </r>
  </si>
  <si>
    <r>
      <t>R</t>
    </r>
    <r>
      <rPr>
        <vertAlign val="subscript"/>
        <sz val="11"/>
        <color theme="1"/>
        <rFont val="Calibri"/>
        <family val="2"/>
        <scheme val="minor"/>
      </rPr>
      <t>U</t>
    </r>
  </si>
  <si>
    <t>Row R &lt;= 4*Col R</t>
  </si>
  <si>
    <t>Rule of thumb:</t>
  </si>
  <si>
    <t>Favorites:</t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</si>
  <si>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U </t>
    </r>
    <r>
      <rPr>
        <sz val="11"/>
        <color theme="1"/>
        <rFont val="Calibri"/>
        <family val="2"/>
        <scheme val="minor"/>
      </rPr>
      <t>&lt;= 10K ohms</t>
    </r>
  </si>
  <si>
    <t>cell2</t>
  </si>
  <si>
    <t>cell1</t>
  </si>
  <si>
    <t>Difference</t>
  </si>
  <si>
    <t>Resistor Values:</t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</si>
  <si>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&lt;= 10K ohms</t>
    </r>
  </si>
  <si>
    <t>Min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</si>
</sst>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0" fontId="0" fillId="0" borderId="0" xfId="1" applyNumberFormat="1" applyFont="1"/>
    <xf numFmtId="0" fontId="0" fillId="0" borderId="4" xfId="0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4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tabSelected="1" workbookViewId="0">
      <selection activeCell="G4" sqref="G4"/>
    </sheetView>
  </sheetViews>
  <sheetFormatPr defaultRowHeight="15" x14ac:dyDescent="0.25"/>
  <cols>
    <col min="1" max="1" width="10.7109375" customWidth="1"/>
    <col min="2" max="2" width="10.140625" customWidth="1"/>
    <col min="7" max="7" width="10" customWidth="1"/>
    <col min="8" max="8" width="10.42578125" customWidth="1"/>
  </cols>
  <sheetData>
    <row r="1" spans="1:18" ht="18" x14ac:dyDescent="0.35">
      <c r="C1">
        <v>6820</v>
      </c>
      <c r="H1" s="3" t="s">
        <v>27</v>
      </c>
      <c r="I1" s="3" t="s">
        <v>9</v>
      </c>
      <c r="J1" s="3" t="s">
        <v>10</v>
      </c>
      <c r="K1" s="3" t="s">
        <v>34</v>
      </c>
      <c r="M1" t="s">
        <v>29</v>
      </c>
    </row>
    <row r="2" spans="1:18" x14ac:dyDescent="0.25">
      <c r="A2" s="7" t="s">
        <v>0</v>
      </c>
      <c r="B2" s="9">
        <v>5</v>
      </c>
      <c r="H2" s="1">
        <v>3550</v>
      </c>
      <c r="I2" s="1">
        <v>1000</v>
      </c>
      <c r="J2" s="1">
        <v>220</v>
      </c>
      <c r="K2" s="1">
        <v>15.853101022066539</v>
      </c>
      <c r="N2" t="s">
        <v>28</v>
      </c>
    </row>
    <row r="3" spans="1:18" ht="18" x14ac:dyDescent="0.35">
      <c r="A3" s="7" t="s">
        <v>27</v>
      </c>
      <c r="B3" s="9">
        <v>7670</v>
      </c>
      <c r="C3" t="s">
        <v>18</v>
      </c>
      <c r="D3" s="1" t="s">
        <v>17</v>
      </c>
      <c r="E3" s="1" t="s">
        <v>17</v>
      </c>
      <c r="H3" s="1">
        <v>4810</v>
      </c>
      <c r="I3" s="1">
        <v>1330</v>
      </c>
      <c r="J3" s="1">
        <v>330</v>
      </c>
      <c r="K3" s="1">
        <v>17.533185262607788</v>
      </c>
      <c r="N3" t="s">
        <v>26</v>
      </c>
    </row>
    <row r="4" spans="1:18" ht="18" x14ac:dyDescent="0.35">
      <c r="A4" s="7" t="s">
        <v>9</v>
      </c>
      <c r="B4" s="9">
        <v>2100</v>
      </c>
      <c r="C4" t="s">
        <v>18</v>
      </c>
      <c r="D4" s="9">
        <v>3</v>
      </c>
      <c r="E4" s="9">
        <v>3</v>
      </c>
      <c r="F4" s="4"/>
      <c r="G4" s="1">
        <f>5000+2000+330+220+100+10+10</f>
        <v>7670</v>
      </c>
      <c r="H4" s="40">
        <v>7670</v>
      </c>
      <c r="I4" s="41">
        <v>2100</v>
      </c>
      <c r="J4" s="41">
        <v>550</v>
      </c>
      <c r="K4" s="14">
        <v>18.333247661149358</v>
      </c>
      <c r="N4" t="s">
        <v>31</v>
      </c>
    </row>
    <row r="5" spans="1:18" ht="18" x14ac:dyDescent="0.35">
      <c r="A5" s="7" t="s">
        <v>10</v>
      </c>
      <c r="B5" s="9">
        <v>550</v>
      </c>
      <c r="C5" t="s">
        <v>18</v>
      </c>
      <c r="D5" s="9">
        <v>4</v>
      </c>
      <c r="E5" s="9">
        <v>3</v>
      </c>
      <c r="F5" s="4"/>
      <c r="H5" s="37">
        <v>8000</v>
      </c>
      <c r="I5" s="38">
        <v>2220</v>
      </c>
      <c r="J5" s="38">
        <v>550</v>
      </c>
      <c r="K5" s="39">
        <v>17.511289825618576</v>
      </c>
      <c r="N5" t="s">
        <v>36</v>
      </c>
    </row>
    <row r="6" spans="1:18" ht="18" x14ac:dyDescent="0.35">
      <c r="C6" s="7" t="s">
        <v>25</v>
      </c>
      <c r="D6" s="8">
        <f>D5*B5+D4*B4</f>
        <v>8500</v>
      </c>
      <c r="E6" s="8">
        <f>E5*B5+E4*B4</f>
        <v>7950</v>
      </c>
      <c r="F6" t="s">
        <v>18</v>
      </c>
      <c r="H6" s="1">
        <v>8200</v>
      </c>
      <c r="I6" s="1">
        <v>2200</v>
      </c>
      <c r="J6" s="1">
        <v>560</v>
      </c>
      <c r="K6" s="1">
        <v>17.905120261501736</v>
      </c>
    </row>
    <row r="7" spans="1:18" x14ac:dyDescent="0.25">
      <c r="C7" s="7" t="s">
        <v>11</v>
      </c>
      <c r="D7" s="8">
        <f>$B$2*D6/($B$3+D6)</f>
        <v>2.6283240568954853</v>
      </c>
      <c r="E7" s="8">
        <f>$B$2*E6/($B$3+E6)</f>
        <v>2.5448143405889883</v>
      </c>
      <c r="F7" t="s">
        <v>19</v>
      </c>
      <c r="G7">
        <v>9100</v>
      </c>
      <c r="H7" s="1">
        <v>10000</v>
      </c>
      <c r="I7" s="1">
        <v>2400</v>
      </c>
      <c r="J7" s="1">
        <v>620</v>
      </c>
      <c r="K7" s="1">
        <v>18.046106256529754</v>
      </c>
    </row>
    <row r="8" spans="1:18" x14ac:dyDescent="0.25">
      <c r="C8" s="7" t="s">
        <v>20</v>
      </c>
      <c r="D8" s="8">
        <f>B2/(B3+B5)</f>
        <v>6.0827250608272508E-4</v>
      </c>
      <c r="E8" s="8">
        <f>$B$2/B3</f>
        <v>6.5189048239895696E-4</v>
      </c>
      <c r="F8" t="s">
        <v>21</v>
      </c>
    </row>
    <row r="9" spans="1:18" x14ac:dyDescent="0.25">
      <c r="C9" s="7" t="s">
        <v>13</v>
      </c>
      <c r="D9" s="8">
        <f>$B$2/($B$3+D6)</f>
        <v>3.0921459492888067E-4</v>
      </c>
      <c r="E9" s="8">
        <f>$B$2/($B$3+E6)</f>
        <v>3.201024327784891E-4</v>
      </c>
      <c r="F9" t="s">
        <v>21</v>
      </c>
    </row>
    <row r="10" spans="1:18" x14ac:dyDescent="0.25">
      <c r="A10" s="4"/>
      <c r="C10" s="4"/>
      <c r="D10" s="4"/>
    </row>
    <row r="12" spans="1:18" x14ac:dyDescent="0.25">
      <c r="B12" s="11" t="s">
        <v>12</v>
      </c>
      <c r="C12" s="3" t="s">
        <v>5</v>
      </c>
      <c r="D12" s="3" t="s">
        <v>8</v>
      </c>
      <c r="E12" s="3" t="s">
        <v>6</v>
      </c>
      <c r="F12" s="3" t="s">
        <v>7</v>
      </c>
      <c r="H12" s="11" t="s">
        <v>12</v>
      </c>
      <c r="I12" s="3" t="s">
        <v>5</v>
      </c>
      <c r="J12" s="3" t="s">
        <v>8</v>
      </c>
      <c r="K12" s="3" t="s">
        <v>6</v>
      </c>
      <c r="L12" s="3" t="s">
        <v>7</v>
      </c>
      <c r="N12" s="10" t="s">
        <v>14</v>
      </c>
      <c r="O12" s="3" t="s">
        <v>5</v>
      </c>
      <c r="P12" s="3" t="s">
        <v>8</v>
      </c>
      <c r="Q12" s="3" t="s">
        <v>6</v>
      </c>
      <c r="R12" s="3" t="s">
        <v>7</v>
      </c>
    </row>
    <row r="13" spans="1:18" x14ac:dyDescent="0.25">
      <c r="B13" s="3" t="s">
        <v>1</v>
      </c>
      <c r="C13" s="21">
        <f>0*$B$4+1*$B$5</f>
        <v>550</v>
      </c>
      <c r="D13" s="22">
        <f>0*$B$4+2*$B$5</f>
        <v>1100</v>
      </c>
      <c r="E13" s="22">
        <f>0*$B$4+3*$B$5</f>
        <v>1650</v>
      </c>
      <c r="F13" s="23">
        <f>0*$B$4+4*$B$5</f>
        <v>2200</v>
      </c>
      <c r="H13" s="3" t="s">
        <v>1</v>
      </c>
      <c r="I13" s="21">
        <f>0*$B$4+0*$B$5</f>
        <v>0</v>
      </c>
      <c r="J13" s="22">
        <f>0*$B$4+1*$B$5</f>
        <v>550</v>
      </c>
      <c r="K13" s="22">
        <f>0*$B$4+2*$B$5</f>
        <v>1100</v>
      </c>
      <c r="L13" s="23">
        <f>0*$B$4+3*$B$5</f>
        <v>1650</v>
      </c>
      <c r="N13" s="3" t="s">
        <v>1</v>
      </c>
      <c r="O13" s="21" t="str">
        <f>IF(COUNTIF($I$13:$L$16,I13)&gt;1,"Dup","OK")</f>
        <v>OK</v>
      </c>
      <c r="P13" s="22" t="str">
        <f t="shared" ref="P13:R16" si="0">IF(COUNTIF($I$13:$L$16,J13)&gt;1,"Dup","OK")</f>
        <v>OK</v>
      </c>
      <c r="Q13" s="22" t="str">
        <f t="shared" si="0"/>
        <v>OK</v>
      </c>
      <c r="R13" s="23" t="str">
        <f t="shared" si="0"/>
        <v>OK</v>
      </c>
    </row>
    <row r="14" spans="1:18" x14ac:dyDescent="0.25">
      <c r="B14" s="3" t="s">
        <v>2</v>
      </c>
      <c r="C14" s="24">
        <f>1*$B$4+1*$B$5</f>
        <v>2650</v>
      </c>
      <c r="D14" s="4">
        <f>1*$B$4+2*$B$5</f>
        <v>3200</v>
      </c>
      <c r="E14" s="4">
        <f>1*$B$4+3*$B$5</f>
        <v>3750</v>
      </c>
      <c r="F14" s="25">
        <f>1*$B$4+4*$B$5</f>
        <v>4300</v>
      </c>
      <c r="H14" s="3" t="s">
        <v>2</v>
      </c>
      <c r="I14" s="24">
        <f>1*$B$4+0*$B$5</f>
        <v>2100</v>
      </c>
      <c r="J14" s="4">
        <f>1*$B$4+1*$B$5</f>
        <v>2650</v>
      </c>
      <c r="K14" s="4">
        <f>1*$B$4+2*$B$5</f>
        <v>3200</v>
      </c>
      <c r="L14" s="25">
        <f>1*$B$4+3*$B$5</f>
        <v>3750</v>
      </c>
      <c r="N14" s="3" t="s">
        <v>2</v>
      </c>
      <c r="O14" s="24" t="str">
        <f t="shared" ref="O14:O16" si="1">IF(COUNTIF($I$13:$L$16,I14)&gt;1,"Dup","OK")</f>
        <v>OK</v>
      </c>
      <c r="P14" s="4" t="str">
        <f t="shared" si="0"/>
        <v>OK</v>
      </c>
      <c r="Q14" s="4" t="str">
        <f t="shared" si="0"/>
        <v>OK</v>
      </c>
      <c r="R14" s="25" t="str">
        <f t="shared" si="0"/>
        <v>OK</v>
      </c>
    </row>
    <row r="15" spans="1:18" x14ac:dyDescent="0.25">
      <c r="B15" s="3" t="s">
        <v>3</v>
      </c>
      <c r="C15" s="24">
        <f>2*$B$4+1*$B$5</f>
        <v>4750</v>
      </c>
      <c r="D15" s="4">
        <f>2*$B$4+2*$B$5</f>
        <v>5300</v>
      </c>
      <c r="E15" s="4">
        <f>2*$B$4+3*$B$5</f>
        <v>5850</v>
      </c>
      <c r="F15" s="25">
        <f>2*$B$4+4*$B$5</f>
        <v>6400</v>
      </c>
      <c r="H15" s="3" t="s">
        <v>3</v>
      </c>
      <c r="I15" s="24">
        <f>2*$B$4+0*$B$5</f>
        <v>4200</v>
      </c>
      <c r="J15" s="4">
        <f>2*$B$4+1*$B$5</f>
        <v>4750</v>
      </c>
      <c r="K15" s="4">
        <f>2*$B$4+2*$B$5</f>
        <v>5300</v>
      </c>
      <c r="L15" s="25">
        <f>2*$B$4+3*$B$5</f>
        <v>5850</v>
      </c>
      <c r="N15" s="3" t="s">
        <v>3</v>
      </c>
      <c r="O15" s="24" t="str">
        <f t="shared" si="1"/>
        <v>OK</v>
      </c>
      <c r="P15" s="4" t="str">
        <f t="shared" si="0"/>
        <v>OK</v>
      </c>
      <c r="Q15" s="4" t="str">
        <f t="shared" si="0"/>
        <v>OK</v>
      </c>
      <c r="R15" s="25" t="str">
        <f t="shared" si="0"/>
        <v>OK</v>
      </c>
    </row>
    <row r="16" spans="1:18" x14ac:dyDescent="0.25">
      <c r="B16" s="3" t="s">
        <v>4</v>
      </c>
      <c r="C16" s="26">
        <f>3*$B$4+1*$B$5</f>
        <v>6850</v>
      </c>
      <c r="D16" s="6">
        <f>3*$B$4+2*$B$5</f>
        <v>7400</v>
      </c>
      <c r="E16" s="6">
        <f>3*$B$4+3*$B$5</f>
        <v>7950</v>
      </c>
      <c r="F16" s="27">
        <f>3*$B$4+4*$B$5</f>
        <v>8500</v>
      </c>
      <c r="H16" s="3" t="s">
        <v>4</v>
      </c>
      <c r="I16" s="26">
        <f>3*$B$4+0*$B$5</f>
        <v>6300</v>
      </c>
      <c r="J16" s="6">
        <f>3*$B$4+1*$B$5</f>
        <v>6850</v>
      </c>
      <c r="K16" s="6">
        <f>3*$B$4+2*$B$5</f>
        <v>7400</v>
      </c>
      <c r="L16" s="27">
        <f>3*$B$4+3*$B$5</f>
        <v>7950</v>
      </c>
      <c r="N16" s="3" t="s">
        <v>4</v>
      </c>
      <c r="O16" s="26" t="str">
        <f t="shared" si="1"/>
        <v>OK</v>
      </c>
      <c r="P16" s="6" t="str">
        <f t="shared" si="0"/>
        <v>OK</v>
      </c>
      <c r="Q16" s="6" t="str">
        <f t="shared" si="0"/>
        <v>OK</v>
      </c>
      <c r="R16" s="27" t="str">
        <f t="shared" si="0"/>
        <v>OK</v>
      </c>
    </row>
    <row r="17" spans="1:18" x14ac:dyDescent="0.25">
      <c r="A17" s="2"/>
    </row>
    <row r="19" spans="1:18" x14ac:dyDescent="0.25">
      <c r="B19" s="11" t="s">
        <v>0</v>
      </c>
      <c r="C19" s="3" t="s">
        <v>5</v>
      </c>
      <c r="D19" s="3" t="s">
        <v>8</v>
      </c>
      <c r="E19" s="3" t="s">
        <v>6</v>
      </c>
      <c r="F19" s="3" t="s">
        <v>7</v>
      </c>
      <c r="H19" s="11" t="s">
        <v>0</v>
      </c>
      <c r="I19" s="3" t="s">
        <v>5</v>
      </c>
      <c r="J19" s="3" t="s">
        <v>8</v>
      </c>
      <c r="K19" s="3" t="s">
        <v>6</v>
      </c>
      <c r="L19" s="3" t="s">
        <v>7</v>
      </c>
    </row>
    <row r="20" spans="1:18" x14ac:dyDescent="0.25">
      <c r="B20" s="3" t="s">
        <v>1</v>
      </c>
      <c r="C20" s="21">
        <f t="shared" ref="C20:F23" si="2">$B$2*C13/(C13+$B$3)</f>
        <v>0.33454987834549876</v>
      </c>
      <c r="D20" s="22">
        <f t="shared" si="2"/>
        <v>0.62713797035347774</v>
      </c>
      <c r="E20" s="22">
        <f t="shared" si="2"/>
        <v>0.88519313304721026</v>
      </c>
      <c r="F20" s="23">
        <f t="shared" si="2"/>
        <v>1.1144883485309016</v>
      </c>
      <c r="H20" s="3" t="s">
        <v>1</v>
      </c>
      <c r="I20" s="21">
        <f t="shared" ref="I20:L23" si="3">$B$2*I13/(I13+$B$3)</f>
        <v>0</v>
      </c>
      <c r="J20" s="22">
        <f t="shared" si="3"/>
        <v>0.33454987834549876</v>
      </c>
      <c r="K20" s="22">
        <f t="shared" si="3"/>
        <v>0.62713797035347774</v>
      </c>
      <c r="L20" s="23">
        <f t="shared" si="3"/>
        <v>0.88519313304721026</v>
      </c>
    </row>
    <row r="21" spans="1:18" x14ac:dyDescent="0.25">
      <c r="B21" s="3" t="s">
        <v>2</v>
      </c>
      <c r="C21" s="24">
        <f t="shared" si="2"/>
        <v>1.2839147286821706</v>
      </c>
      <c r="D21" s="4">
        <f t="shared" si="2"/>
        <v>1.4719411223551058</v>
      </c>
      <c r="E21" s="4">
        <f t="shared" si="2"/>
        <v>1.6418563922942206</v>
      </c>
      <c r="F21" s="25">
        <f t="shared" si="2"/>
        <v>1.7961570593149541</v>
      </c>
      <c r="H21" s="3" t="s">
        <v>2</v>
      </c>
      <c r="I21" s="24">
        <f t="shared" si="3"/>
        <v>1.0747185261003072</v>
      </c>
      <c r="J21" s="4">
        <f t="shared" si="3"/>
        <v>1.2839147286821706</v>
      </c>
      <c r="K21" s="4">
        <f t="shared" si="3"/>
        <v>1.4719411223551058</v>
      </c>
      <c r="L21" s="25">
        <f t="shared" si="3"/>
        <v>1.6418563922942206</v>
      </c>
    </row>
    <row r="22" spans="1:18" x14ac:dyDescent="0.25">
      <c r="B22" s="3" t="s">
        <v>3</v>
      </c>
      <c r="C22" s="24">
        <f t="shared" si="2"/>
        <v>1.9122383252818036</v>
      </c>
      <c r="D22" s="4">
        <f t="shared" si="2"/>
        <v>2.0431765612952968</v>
      </c>
      <c r="E22" s="4">
        <f t="shared" si="2"/>
        <v>2.1634615384615383</v>
      </c>
      <c r="F22" s="25">
        <f t="shared" si="2"/>
        <v>2.2743425728500357</v>
      </c>
      <c r="H22" s="3" t="s">
        <v>3</v>
      </c>
      <c r="I22" s="24">
        <f t="shared" si="3"/>
        <v>1.7691659646166806</v>
      </c>
      <c r="J22" s="4">
        <f t="shared" si="3"/>
        <v>1.9122383252818036</v>
      </c>
      <c r="K22" s="4">
        <f t="shared" si="3"/>
        <v>2.0431765612952968</v>
      </c>
      <c r="L22" s="25">
        <f t="shared" si="3"/>
        <v>2.1634615384615383</v>
      </c>
    </row>
    <row r="23" spans="1:18" x14ac:dyDescent="0.25">
      <c r="B23" s="3" t="s">
        <v>4</v>
      </c>
      <c r="C23" s="26">
        <f t="shared" si="2"/>
        <v>2.358815426997245</v>
      </c>
      <c r="D23" s="6">
        <f t="shared" si="2"/>
        <v>2.4552090245520901</v>
      </c>
      <c r="E23" s="6">
        <f t="shared" si="2"/>
        <v>2.5448143405889883</v>
      </c>
      <c r="F23" s="27">
        <f t="shared" si="2"/>
        <v>2.6283240568954853</v>
      </c>
      <c r="H23" s="3" t="s">
        <v>4</v>
      </c>
      <c r="I23" s="26">
        <f t="shared" si="3"/>
        <v>2.2548317823908377</v>
      </c>
      <c r="J23" s="6">
        <f t="shared" si="3"/>
        <v>2.358815426997245</v>
      </c>
      <c r="K23" s="6">
        <f t="shared" si="3"/>
        <v>2.4552090245520901</v>
      </c>
      <c r="L23" s="27">
        <f t="shared" si="3"/>
        <v>2.5448143405889883</v>
      </c>
    </row>
    <row r="24" spans="1:18" x14ac:dyDescent="0.25">
      <c r="F24" s="2" t="s">
        <v>23</v>
      </c>
      <c r="G24">
        <f>ArrayDiff(C20:F23,"MIN")</f>
        <v>8.3509716306497062E-2</v>
      </c>
      <c r="L24" s="2" t="s">
        <v>23</v>
      </c>
      <c r="M24">
        <f>ArrayDiff(I20:L23)</f>
        <v>8.9605316036898142E-2</v>
      </c>
      <c r="N24" t="s">
        <v>15</v>
      </c>
    </row>
    <row r="25" spans="1:18" x14ac:dyDescent="0.25">
      <c r="B25" s="11" t="s">
        <v>22</v>
      </c>
      <c r="C25" s="3" t="s">
        <v>5</v>
      </c>
      <c r="D25" s="3" t="s">
        <v>8</v>
      </c>
      <c r="E25" s="3" t="s">
        <v>6</v>
      </c>
      <c r="F25" s="3" t="s">
        <v>7</v>
      </c>
      <c r="H25" s="11" t="s">
        <v>22</v>
      </c>
      <c r="I25" s="3" t="s">
        <v>5</v>
      </c>
      <c r="J25" s="3" t="s">
        <v>8</v>
      </c>
      <c r="K25" s="3" t="s">
        <v>6</v>
      </c>
      <c r="L25" s="3" t="s">
        <v>7</v>
      </c>
      <c r="N25" s="11" t="s">
        <v>37</v>
      </c>
      <c r="O25" s="3" t="s">
        <v>5</v>
      </c>
      <c r="P25" s="3" t="s">
        <v>8</v>
      </c>
      <c r="Q25" s="3" t="s">
        <v>6</v>
      </c>
      <c r="R25" s="3" t="s">
        <v>7</v>
      </c>
    </row>
    <row r="26" spans="1:18" x14ac:dyDescent="0.25">
      <c r="B26" s="3" t="s">
        <v>1</v>
      </c>
      <c r="C26" s="21">
        <f>(C20*1023)/$B$2</f>
        <v>68.448905109489047</v>
      </c>
      <c r="D26" s="22">
        <f t="shared" ref="D26:F26" si="4">(D20*1023)/$B$2</f>
        <v>128.31242873432154</v>
      </c>
      <c r="E26" s="22">
        <f t="shared" si="4"/>
        <v>181.11051502145921</v>
      </c>
      <c r="F26" s="23">
        <f t="shared" si="4"/>
        <v>228.0243161094225</v>
      </c>
      <c r="H26" s="3" t="s">
        <v>1</v>
      </c>
      <c r="I26" s="21">
        <f>(I20*1023)/$B$2</f>
        <v>0</v>
      </c>
      <c r="J26" s="22">
        <f t="shared" ref="J26:L26" si="5">(J20*1023)/$B$2</f>
        <v>68.448905109489047</v>
      </c>
      <c r="K26" s="22">
        <f t="shared" si="5"/>
        <v>128.31242873432154</v>
      </c>
      <c r="L26" s="23">
        <f t="shared" si="5"/>
        <v>181.11051502145921</v>
      </c>
      <c r="N26" s="3" t="s">
        <v>1</v>
      </c>
      <c r="O26" s="28" t="str">
        <f>IF($M$32=1,"X",IF($M$33=1,"X",""))</f>
        <v/>
      </c>
      <c r="P26" s="29" t="str">
        <f>IF($M$32=0,"X",IF($M$33=0,"X",""))</f>
        <v/>
      </c>
      <c r="Q26" s="29" t="str">
        <f>IF($M$32=2,"X",IF($M$33=2,"X",""))</f>
        <v/>
      </c>
      <c r="R26" s="30" t="str">
        <f>IF($M$32=3,"X",IF($M$33=3,"X",""))</f>
        <v/>
      </c>
    </row>
    <row r="27" spans="1:18" x14ac:dyDescent="0.25">
      <c r="B27" s="3" t="s">
        <v>2</v>
      </c>
      <c r="C27" s="24">
        <f t="shared" ref="C27:F27" si="6">(C21*1023)/$B$2</f>
        <v>262.68895348837208</v>
      </c>
      <c r="D27" s="4">
        <f t="shared" si="6"/>
        <v>301.15915363385466</v>
      </c>
      <c r="E27" s="4">
        <f t="shared" si="6"/>
        <v>335.92381786339757</v>
      </c>
      <c r="F27" s="25">
        <f t="shared" si="6"/>
        <v>367.49373433583958</v>
      </c>
      <c r="H27" s="3" t="s">
        <v>2</v>
      </c>
      <c r="I27" s="24">
        <f t="shared" ref="I27:L27" si="7">(I21*1023)/$B$2</f>
        <v>219.88741044012286</v>
      </c>
      <c r="J27" s="4">
        <f t="shared" si="7"/>
        <v>262.68895348837208</v>
      </c>
      <c r="K27" s="4">
        <f t="shared" si="7"/>
        <v>301.15915363385466</v>
      </c>
      <c r="L27" s="25">
        <f t="shared" si="7"/>
        <v>335.92381786339757</v>
      </c>
      <c r="N27" s="3" t="s">
        <v>2</v>
      </c>
      <c r="O27" s="31" t="str">
        <f>IF($M$32=4,"X",IF($M$33=4,"X",""))</f>
        <v/>
      </c>
      <c r="P27" s="32" t="str">
        <f>IF($M$32=5,"X",IF($M$33=5,"X",""))</f>
        <v/>
      </c>
      <c r="Q27" s="32" t="str">
        <f>IF($M$32=6,"X",IF($M$33=6,"X",""))</f>
        <v/>
      </c>
      <c r="R27" s="33" t="str">
        <f>IF($M$32=7,"X",IF($M$33=7,"X",""))</f>
        <v/>
      </c>
    </row>
    <row r="28" spans="1:18" x14ac:dyDescent="0.25">
      <c r="B28" s="3" t="s">
        <v>3</v>
      </c>
      <c r="C28" s="24">
        <f t="shared" ref="C28:F28" si="8">(C22*1023)/$B$2</f>
        <v>391.24396135265704</v>
      </c>
      <c r="D28" s="4">
        <f t="shared" si="8"/>
        <v>418.03392444101775</v>
      </c>
      <c r="E28" s="4">
        <f t="shared" si="8"/>
        <v>442.64423076923077</v>
      </c>
      <c r="F28" s="25">
        <f t="shared" si="8"/>
        <v>465.3304904051173</v>
      </c>
      <c r="H28" s="3" t="s">
        <v>3</v>
      </c>
      <c r="I28" s="24">
        <f t="shared" ref="I28:L28" si="9">(I22*1023)/$B$2</f>
        <v>361.97135636057288</v>
      </c>
      <c r="J28" s="4">
        <f t="shared" si="9"/>
        <v>391.24396135265704</v>
      </c>
      <c r="K28" s="4">
        <f t="shared" si="9"/>
        <v>418.03392444101775</v>
      </c>
      <c r="L28" s="25">
        <f t="shared" si="9"/>
        <v>442.64423076923077</v>
      </c>
      <c r="N28" s="3" t="s">
        <v>3</v>
      </c>
      <c r="O28" s="31" t="str">
        <f>IF($M$32=8,"X",IF($M$33=8,"X",""))</f>
        <v/>
      </c>
      <c r="P28" s="32" t="str">
        <f>IF($M$32=9,"X",IF($M$33=9,"X",""))</f>
        <v/>
      </c>
      <c r="Q28" s="32" t="str">
        <f>IF($M$32=10,"X",IF($M$33=10,"X",""))</f>
        <v/>
      </c>
      <c r="R28" s="33" t="str">
        <f>IF($M$32=11,"X",IF($M$33=11,"X",""))</f>
        <v/>
      </c>
    </row>
    <row r="29" spans="1:18" x14ac:dyDescent="0.25">
      <c r="B29" s="3" t="s">
        <v>4</v>
      </c>
      <c r="C29" s="26">
        <f t="shared" ref="C29:F29" si="10">(C23*1023)/$B$2</f>
        <v>482.61363636363632</v>
      </c>
      <c r="D29" s="6">
        <f t="shared" si="10"/>
        <v>502.33576642335765</v>
      </c>
      <c r="E29" s="6">
        <f t="shared" si="10"/>
        <v>520.66901408450701</v>
      </c>
      <c r="F29" s="27">
        <f t="shared" si="10"/>
        <v>537.75510204081627</v>
      </c>
      <c r="H29" s="3" t="s">
        <v>4</v>
      </c>
      <c r="I29" s="26">
        <f t="shared" ref="I29:L29" si="11">(I23*1023)/$B$2</f>
        <v>461.33858267716539</v>
      </c>
      <c r="J29" s="6">
        <f t="shared" si="11"/>
        <v>482.61363636363632</v>
      </c>
      <c r="K29" s="6">
        <f t="shared" si="11"/>
        <v>502.33576642335765</v>
      </c>
      <c r="L29" s="27">
        <f t="shared" si="11"/>
        <v>520.66901408450701</v>
      </c>
      <c r="N29" s="3" t="s">
        <v>4</v>
      </c>
      <c r="O29" s="34" t="str">
        <f>IF($M$32=12,"X",IF($M$33=12,"X",""))</f>
        <v/>
      </c>
      <c r="P29" s="35" t="str">
        <f>IF($M$32=13,"X",IF($M$33=13,"X",""))</f>
        <v/>
      </c>
      <c r="Q29" s="35" t="str">
        <f>IF($M$32=14,"X",IF($M$33=14,"X",""))</f>
        <v>X</v>
      </c>
      <c r="R29" s="36" t="str">
        <f>IF($M$32=15,"X",IF($M$33=15,"X",""))</f>
        <v>X</v>
      </c>
    </row>
    <row r="31" spans="1:18" x14ac:dyDescent="0.25">
      <c r="F31" s="2" t="s">
        <v>16</v>
      </c>
      <c r="G31" s="1">
        <f>ArrayDiff(C26:F29,"MIN")</f>
        <v>17.086087956309257</v>
      </c>
      <c r="L31" s="2" t="s">
        <v>16</v>
      </c>
      <c r="M31" s="1">
        <f>ArrayDiff(I26:L29,"MIN")</f>
        <v>18.333247661149358</v>
      </c>
      <c r="N31" s="5"/>
      <c r="O31" s="1"/>
    </row>
    <row r="32" spans="1:18" x14ac:dyDescent="0.25">
      <c r="F32" s="2" t="s">
        <v>33</v>
      </c>
      <c r="G32" s="1">
        <f>ArrayDiff(C26:F29,"RCM1")</f>
        <v>14</v>
      </c>
      <c r="L32" s="2" t="s">
        <v>33</v>
      </c>
      <c r="M32" s="1">
        <f>ArrayDiff(I26:L29,"RCM1")</f>
        <v>14</v>
      </c>
      <c r="O32" s="1"/>
    </row>
    <row r="33" spans="6:13" x14ac:dyDescent="0.25">
      <c r="F33" s="2" t="s">
        <v>32</v>
      </c>
      <c r="G33" s="1">
        <f>ArrayDiff(C26:F29,"RCM2")</f>
        <v>15</v>
      </c>
      <c r="L33" s="2" t="s">
        <v>32</v>
      </c>
      <c r="M33" s="1">
        <f>ArrayDiff(I26:L29,"RCM2")</f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3"/>
  <sheetViews>
    <sheetView workbookViewId="0">
      <selection activeCell="G21" sqref="G21"/>
    </sheetView>
  </sheetViews>
  <sheetFormatPr defaultRowHeight="15" x14ac:dyDescent="0.25"/>
  <cols>
    <col min="1" max="1" width="10.7109375" customWidth="1"/>
    <col min="2" max="2" width="10.28515625" customWidth="1"/>
    <col min="7" max="8" width="10" customWidth="1"/>
  </cols>
  <sheetData>
    <row r="1" spans="1:17" ht="18" x14ac:dyDescent="0.35">
      <c r="D1" t="s">
        <v>29</v>
      </c>
      <c r="G1" t="s">
        <v>30</v>
      </c>
      <c r="H1" s="3" t="s">
        <v>27</v>
      </c>
      <c r="I1" s="3" t="s">
        <v>5</v>
      </c>
      <c r="J1" s="3" t="s">
        <v>8</v>
      </c>
      <c r="K1" s="3" t="s">
        <v>6</v>
      </c>
      <c r="L1" s="3" t="s">
        <v>7</v>
      </c>
      <c r="M1" s="3" t="s">
        <v>1</v>
      </c>
      <c r="N1" s="3" t="s">
        <v>2</v>
      </c>
      <c r="O1" s="3" t="s">
        <v>3</v>
      </c>
      <c r="P1" s="3" t="s">
        <v>4</v>
      </c>
      <c r="Q1" s="12" t="s">
        <v>34</v>
      </c>
    </row>
    <row r="2" spans="1:17" x14ac:dyDescent="0.25">
      <c r="A2" s="7" t="s">
        <v>0</v>
      </c>
      <c r="B2" s="9">
        <v>5</v>
      </c>
      <c r="E2" t="s">
        <v>28</v>
      </c>
      <c r="H2">
        <v>3520</v>
      </c>
      <c r="I2" s="1">
        <v>0</v>
      </c>
      <c r="J2" s="1">
        <v>330</v>
      </c>
      <c r="K2" s="1">
        <v>360</v>
      </c>
      <c r="L2" s="1">
        <v>390</v>
      </c>
      <c r="M2" s="1">
        <v>0</v>
      </c>
      <c r="N2" s="1">
        <v>1200</v>
      </c>
      <c r="O2" s="1">
        <v>1300</v>
      </c>
      <c r="P2" s="1">
        <v>1500</v>
      </c>
      <c r="Q2">
        <v>19.890298274934139</v>
      </c>
    </row>
    <row r="3" spans="1:17" ht="18" x14ac:dyDescent="0.35">
      <c r="A3" s="7" t="s">
        <v>27</v>
      </c>
      <c r="B3" s="9">
        <v>4000</v>
      </c>
      <c r="C3" t="s">
        <v>18</v>
      </c>
      <c r="E3" t="s">
        <v>26</v>
      </c>
      <c r="H3">
        <v>4000</v>
      </c>
      <c r="I3" s="1">
        <v>0</v>
      </c>
      <c r="J3" s="1">
        <v>330</v>
      </c>
      <c r="K3" s="1">
        <v>360</v>
      </c>
      <c r="L3" s="1">
        <v>390</v>
      </c>
      <c r="M3" s="1">
        <v>0</v>
      </c>
      <c r="N3" s="1">
        <v>560</v>
      </c>
      <c r="O3" s="1">
        <v>1300</v>
      </c>
      <c r="P3" s="1">
        <v>1400</v>
      </c>
      <c r="Q3">
        <v>24.069499117686973</v>
      </c>
    </row>
    <row r="4" spans="1:17" ht="18" x14ac:dyDescent="0.35">
      <c r="A4" s="16"/>
      <c r="B4" s="19"/>
      <c r="D4" s="17"/>
      <c r="E4" t="s">
        <v>31</v>
      </c>
      <c r="F4" s="4"/>
      <c r="H4">
        <v>3150</v>
      </c>
      <c r="I4" s="1">
        <v>0</v>
      </c>
      <c r="J4" s="1">
        <v>560</v>
      </c>
      <c r="K4" s="1">
        <v>620</v>
      </c>
      <c r="L4" s="1">
        <v>680</v>
      </c>
      <c r="M4" s="1">
        <v>0</v>
      </c>
      <c r="N4" s="1">
        <v>1000</v>
      </c>
      <c r="O4" s="1">
        <v>1500</v>
      </c>
      <c r="P4" s="1">
        <v>2200</v>
      </c>
      <c r="Q4" s="1">
        <v>17.268320914417927</v>
      </c>
    </row>
    <row r="5" spans="1:17" ht="18" x14ac:dyDescent="0.35">
      <c r="A5" s="7" t="s">
        <v>25</v>
      </c>
      <c r="B5" s="8">
        <f>F16</f>
        <v>4390</v>
      </c>
      <c r="C5" t="s">
        <v>18</v>
      </c>
      <c r="D5" s="17"/>
      <c r="E5" t="s">
        <v>36</v>
      </c>
      <c r="F5" s="4"/>
      <c r="H5">
        <v>6500</v>
      </c>
      <c r="I5" s="5">
        <v>0</v>
      </c>
      <c r="J5" s="5">
        <v>1000</v>
      </c>
      <c r="K5" s="5">
        <v>1200</v>
      </c>
      <c r="L5" s="5">
        <v>1500</v>
      </c>
      <c r="M5" s="5">
        <v>0</v>
      </c>
      <c r="N5" s="5">
        <v>2400</v>
      </c>
      <c r="O5" s="5">
        <v>3300</v>
      </c>
      <c r="P5" s="5">
        <v>4700</v>
      </c>
      <c r="Q5" s="1">
        <v>17.175513366912014</v>
      </c>
    </row>
    <row r="6" spans="1:17" x14ac:dyDescent="0.25">
      <c r="A6" s="7" t="s">
        <v>11</v>
      </c>
      <c r="B6" s="8">
        <f>$B$2*B5/($B$3+B5)</f>
        <v>2.6162097735399286</v>
      </c>
      <c r="C6" t="s">
        <v>19</v>
      </c>
      <c r="D6" s="18"/>
      <c r="E6" s="15"/>
      <c r="H6">
        <v>5000</v>
      </c>
      <c r="I6" s="5">
        <v>0</v>
      </c>
      <c r="J6" s="5">
        <v>910</v>
      </c>
      <c r="K6" s="5">
        <v>1100</v>
      </c>
      <c r="L6" s="5">
        <v>1200</v>
      </c>
      <c r="M6" s="5">
        <v>0</v>
      </c>
      <c r="N6" s="5">
        <v>1500</v>
      </c>
      <c r="O6" s="5">
        <v>2700</v>
      </c>
      <c r="P6" s="5">
        <v>4700</v>
      </c>
      <c r="Q6" s="1">
        <v>20.841800951632933</v>
      </c>
    </row>
    <row r="7" spans="1:17" x14ac:dyDescent="0.25">
      <c r="A7" s="7" t="s">
        <v>20</v>
      </c>
      <c r="B7" s="8">
        <f>$B$2/(B3+C13)</f>
        <v>1.25E-3</v>
      </c>
      <c r="C7" t="s">
        <v>21</v>
      </c>
      <c r="D7" s="18"/>
      <c r="E7" s="15"/>
      <c r="H7">
        <v>3410</v>
      </c>
      <c r="I7" s="5">
        <v>0</v>
      </c>
      <c r="J7" s="5">
        <v>680</v>
      </c>
      <c r="K7" s="5">
        <v>820</v>
      </c>
      <c r="L7" s="5">
        <v>910</v>
      </c>
      <c r="M7" s="5">
        <v>0</v>
      </c>
      <c r="N7" s="5">
        <v>1100</v>
      </c>
      <c r="O7" s="5">
        <v>2000</v>
      </c>
      <c r="P7" s="5">
        <v>4300</v>
      </c>
      <c r="Q7">
        <v>18.930356468119726</v>
      </c>
    </row>
    <row r="8" spans="1:17" x14ac:dyDescent="0.25">
      <c r="A8" s="7" t="s">
        <v>13</v>
      </c>
      <c r="B8" s="8">
        <f>$B$2/($B$3+B5)</f>
        <v>5.9594755661501785E-4</v>
      </c>
      <c r="C8" t="s">
        <v>21</v>
      </c>
      <c r="D8" s="18"/>
      <c r="E8" s="15"/>
    </row>
    <row r="9" spans="1:17" x14ac:dyDescent="0.25">
      <c r="D9" s="18"/>
      <c r="E9" s="15"/>
    </row>
    <row r="10" spans="1:17" x14ac:dyDescent="0.25">
      <c r="A10" s="4"/>
      <c r="C10" s="20" t="s">
        <v>35</v>
      </c>
      <c r="D10" s="4"/>
    </row>
    <row r="11" spans="1:17" x14ac:dyDescent="0.25">
      <c r="C11" s="9">
        <v>0</v>
      </c>
      <c r="D11" s="9">
        <v>330</v>
      </c>
      <c r="E11" s="9">
        <v>360</v>
      </c>
      <c r="F11" s="9">
        <v>390</v>
      </c>
    </row>
    <row r="12" spans="1:17" x14ac:dyDescent="0.25">
      <c r="B12" s="11" t="s">
        <v>12</v>
      </c>
      <c r="C12" s="3" t="s">
        <v>5</v>
      </c>
      <c r="D12" s="3" t="s">
        <v>8</v>
      </c>
      <c r="E12" s="3" t="s">
        <v>6</v>
      </c>
      <c r="F12" s="3" t="s">
        <v>7</v>
      </c>
      <c r="H12" s="11" t="s">
        <v>14</v>
      </c>
      <c r="I12" s="3" t="s">
        <v>5</v>
      </c>
      <c r="J12" s="3" t="s">
        <v>8</v>
      </c>
      <c r="K12" s="3" t="s">
        <v>6</v>
      </c>
      <c r="L12" s="3" t="s">
        <v>7</v>
      </c>
    </row>
    <row r="13" spans="1:17" x14ac:dyDescent="0.25">
      <c r="A13" s="9">
        <v>0</v>
      </c>
      <c r="B13" s="3" t="s">
        <v>1</v>
      </c>
      <c r="C13" s="21">
        <f>A13+$C$11</f>
        <v>0</v>
      </c>
      <c r="D13" s="22">
        <f>A13+$C$11+$D$11</f>
        <v>330</v>
      </c>
      <c r="E13" s="22">
        <f>A13+$C$11+$D$11+$E$11</f>
        <v>690</v>
      </c>
      <c r="F13" s="23">
        <f>A13+$C$11+$D$11+$E$11+$F$11</f>
        <v>1080</v>
      </c>
      <c r="H13" s="3" t="s">
        <v>1</v>
      </c>
      <c r="I13" s="21" t="str">
        <f t="shared" ref="I13:L16" si="0">IF(COUNTIF($C$13:$F$16,C13)&gt;1,"Dup","OK")</f>
        <v>OK</v>
      </c>
      <c r="J13" s="22" t="str">
        <f t="shared" si="0"/>
        <v>OK</v>
      </c>
      <c r="K13" s="22" t="str">
        <f t="shared" si="0"/>
        <v>OK</v>
      </c>
      <c r="L13" s="23" t="str">
        <f t="shared" si="0"/>
        <v>OK</v>
      </c>
    </row>
    <row r="14" spans="1:17" x14ac:dyDescent="0.25">
      <c r="A14" s="9">
        <v>560</v>
      </c>
      <c r="B14" s="3" t="s">
        <v>2</v>
      </c>
      <c r="C14" s="24">
        <f>A$13+A$14+$C$11</f>
        <v>560</v>
      </c>
      <c r="D14" s="4">
        <f>A$13+A$14+$C$11+$D$11</f>
        <v>890</v>
      </c>
      <c r="E14" s="4">
        <f>A$13+A$14+$C$11+$D$11+$E$11</f>
        <v>1250</v>
      </c>
      <c r="F14" s="25">
        <f>A$13+A$14+$C$11+$D$11+$E$11+$F$11</f>
        <v>1640</v>
      </c>
      <c r="H14" s="3" t="s">
        <v>2</v>
      </c>
      <c r="I14" s="24" t="str">
        <f t="shared" si="0"/>
        <v>OK</v>
      </c>
      <c r="J14" s="4" t="str">
        <f t="shared" si="0"/>
        <v>OK</v>
      </c>
      <c r="K14" s="4" t="str">
        <f t="shared" si="0"/>
        <v>OK</v>
      </c>
      <c r="L14" s="25" t="str">
        <f t="shared" si="0"/>
        <v>OK</v>
      </c>
    </row>
    <row r="15" spans="1:17" x14ac:dyDescent="0.25">
      <c r="A15" s="9">
        <v>1320</v>
      </c>
      <c r="B15" s="3" t="s">
        <v>3</v>
      </c>
      <c r="C15" s="24">
        <f>A$13+A$14+A$15+$C$11</f>
        <v>1880</v>
      </c>
      <c r="D15" s="4">
        <f>A$13+A$14+A$15+$C$11+$D$11</f>
        <v>2210</v>
      </c>
      <c r="E15" s="4">
        <f>A$13+A$14+A$15+$C$11+$D$11+$E$11</f>
        <v>2570</v>
      </c>
      <c r="F15" s="25">
        <f>A$13+A$14+A$15+$C$11+$D$11+$E$11+$F$11</f>
        <v>2960</v>
      </c>
      <c r="H15" s="3" t="s">
        <v>3</v>
      </c>
      <c r="I15" s="24" t="str">
        <f t="shared" si="0"/>
        <v>OK</v>
      </c>
      <c r="J15" s="4" t="str">
        <f t="shared" si="0"/>
        <v>OK</v>
      </c>
      <c r="K15" s="4" t="str">
        <f t="shared" si="0"/>
        <v>OK</v>
      </c>
      <c r="L15" s="25" t="str">
        <f t="shared" si="0"/>
        <v>OK</v>
      </c>
    </row>
    <row r="16" spans="1:17" x14ac:dyDescent="0.25">
      <c r="A16" s="9">
        <v>1430</v>
      </c>
      <c r="B16" s="3" t="s">
        <v>4</v>
      </c>
      <c r="C16" s="26">
        <f>A$13+A$14+A$15+A$16+$C$11</f>
        <v>3310</v>
      </c>
      <c r="D16" s="6">
        <f>A$13+A$14+A$15+A$16+$C$11+$D$11</f>
        <v>3640</v>
      </c>
      <c r="E16" s="6">
        <f>A$13+A$14+A$15+A$16+$C$11+$D$11+$E$11</f>
        <v>4000</v>
      </c>
      <c r="F16" s="27">
        <f>A$13+A$14+A$15+A$16+$C$11+$D$11+$E$11+$F$11</f>
        <v>4390</v>
      </c>
      <c r="H16" s="3" t="s">
        <v>4</v>
      </c>
      <c r="I16" s="26" t="str">
        <f t="shared" si="0"/>
        <v>OK</v>
      </c>
      <c r="J16" s="6" t="str">
        <f t="shared" si="0"/>
        <v>OK</v>
      </c>
      <c r="K16" s="6" t="str">
        <f t="shared" si="0"/>
        <v>OK</v>
      </c>
      <c r="L16" s="27" t="str">
        <f t="shared" si="0"/>
        <v>OK</v>
      </c>
    </row>
    <row r="17" spans="1:12" x14ac:dyDescent="0.25">
      <c r="E17" s="2" t="s">
        <v>24</v>
      </c>
      <c r="F17" s="13">
        <f>1-E16/F16</f>
        <v>8.8838268792710728E-2</v>
      </c>
    </row>
    <row r="19" spans="1:12" x14ac:dyDescent="0.25">
      <c r="B19" s="11" t="s">
        <v>0</v>
      </c>
      <c r="C19" s="3" t="s">
        <v>5</v>
      </c>
      <c r="D19" s="3" t="s">
        <v>8</v>
      </c>
      <c r="E19" s="3" t="s">
        <v>6</v>
      </c>
      <c r="F19" s="3" t="s">
        <v>7</v>
      </c>
    </row>
    <row r="20" spans="1:12" x14ac:dyDescent="0.25">
      <c r="B20" s="3" t="s">
        <v>1</v>
      </c>
      <c r="C20" s="21">
        <f t="shared" ref="C20:F23" si="1">$B$2*C13/(C13+$B$3)</f>
        <v>0</v>
      </c>
      <c r="D20" s="22">
        <f t="shared" si="1"/>
        <v>0.38106235565819863</v>
      </c>
      <c r="E20" s="22">
        <f t="shared" si="1"/>
        <v>0.73560767590618337</v>
      </c>
      <c r="F20" s="23">
        <f t="shared" si="1"/>
        <v>1.0629921259842521</v>
      </c>
    </row>
    <row r="21" spans="1:12" x14ac:dyDescent="0.25">
      <c r="B21" s="3" t="s">
        <v>2</v>
      </c>
      <c r="C21" s="24">
        <f t="shared" si="1"/>
        <v>0.61403508771929827</v>
      </c>
      <c r="D21" s="4">
        <f t="shared" si="1"/>
        <v>0.91002044989775055</v>
      </c>
      <c r="E21" s="4">
        <f t="shared" si="1"/>
        <v>1.1904761904761905</v>
      </c>
      <c r="F21" s="25">
        <f t="shared" si="1"/>
        <v>1.4539007092198581</v>
      </c>
    </row>
    <row r="22" spans="1:12" x14ac:dyDescent="0.25">
      <c r="B22" s="3" t="s">
        <v>3</v>
      </c>
      <c r="C22" s="24">
        <f t="shared" si="1"/>
        <v>1.5986394557823129</v>
      </c>
      <c r="D22" s="4">
        <f t="shared" si="1"/>
        <v>1.7793880837359097</v>
      </c>
      <c r="E22" s="4">
        <f t="shared" si="1"/>
        <v>1.9558599695585996</v>
      </c>
      <c r="F22" s="25">
        <f t="shared" si="1"/>
        <v>2.1264367816091956</v>
      </c>
    </row>
    <row r="23" spans="1:12" x14ac:dyDescent="0.25">
      <c r="B23" s="3" t="s">
        <v>4</v>
      </c>
      <c r="C23" s="26">
        <f t="shared" si="1"/>
        <v>2.2640218878248972</v>
      </c>
      <c r="D23" s="6">
        <f t="shared" si="1"/>
        <v>2.3821989528795813</v>
      </c>
      <c r="E23" s="6">
        <f t="shared" si="1"/>
        <v>2.5</v>
      </c>
      <c r="F23" s="27">
        <f t="shared" si="1"/>
        <v>2.6162097735399286</v>
      </c>
    </row>
    <row r="24" spans="1:12" x14ac:dyDescent="0.25">
      <c r="F24" s="2" t="s">
        <v>23</v>
      </c>
      <c r="G24">
        <f>ArrayDiff(C20:F23)</f>
        <v>0.11620977353992856</v>
      </c>
    </row>
    <row r="25" spans="1:12" x14ac:dyDescent="0.25">
      <c r="B25" s="11" t="s">
        <v>22</v>
      </c>
      <c r="C25" s="3" t="s">
        <v>5</v>
      </c>
      <c r="D25" s="3" t="s">
        <v>8</v>
      </c>
      <c r="E25" s="3" t="s">
        <v>6</v>
      </c>
      <c r="F25" s="3" t="s">
        <v>7</v>
      </c>
      <c r="H25" s="11" t="s">
        <v>37</v>
      </c>
      <c r="I25" s="3" t="s">
        <v>5</v>
      </c>
      <c r="J25" s="3" t="s">
        <v>8</v>
      </c>
      <c r="K25" s="3" t="s">
        <v>6</v>
      </c>
      <c r="L25" s="3" t="s">
        <v>7</v>
      </c>
    </row>
    <row r="26" spans="1:12" x14ac:dyDescent="0.25">
      <c r="B26" s="3" t="s">
        <v>1</v>
      </c>
      <c r="C26" s="21">
        <f>(C20*1023)/$B$2</f>
        <v>0</v>
      </c>
      <c r="D26" s="22">
        <f t="shared" ref="D26:F26" si="2">(D20*1023)/$B$2</f>
        <v>77.965357967667444</v>
      </c>
      <c r="E26" s="22">
        <f t="shared" si="2"/>
        <v>150.50533049040513</v>
      </c>
      <c r="F26" s="23">
        <f t="shared" si="2"/>
        <v>217.48818897637798</v>
      </c>
      <c r="H26" s="3" t="s">
        <v>1</v>
      </c>
      <c r="I26" s="28" t="str">
        <f>IF($G$32=1,"X",IF($G$33=1,"X",""))</f>
        <v/>
      </c>
      <c r="J26" s="29" t="str">
        <f>IF($G$32=0,"X",IF($G$33=0,"X",""))</f>
        <v/>
      </c>
      <c r="K26" s="29" t="str">
        <f>IF($G$32=2,"X",IF($G$33=2,"X",""))</f>
        <v/>
      </c>
      <c r="L26" s="30" t="str">
        <f>IF($G$32=3,"X",IF($G$33=3,"X",""))</f>
        <v/>
      </c>
    </row>
    <row r="27" spans="1:12" x14ac:dyDescent="0.25">
      <c r="B27" s="3" t="s">
        <v>2</v>
      </c>
      <c r="C27" s="24">
        <f t="shared" ref="C27:F29" si="3">(C21*1023)/$B$2</f>
        <v>125.63157894736841</v>
      </c>
      <c r="D27" s="4">
        <f t="shared" si="3"/>
        <v>186.19018404907976</v>
      </c>
      <c r="E27" s="4">
        <f t="shared" si="3"/>
        <v>243.57142857142858</v>
      </c>
      <c r="F27" s="25">
        <f t="shared" si="3"/>
        <v>297.468085106383</v>
      </c>
      <c r="H27" s="3" t="s">
        <v>2</v>
      </c>
      <c r="I27" s="31" t="str">
        <f>IF($G$32=4,"X",IF($G$33=4,"X",""))</f>
        <v/>
      </c>
      <c r="J27" s="32" t="str">
        <f>IF($G$32=5,"X",IF($G$33=5,"X",""))</f>
        <v/>
      </c>
      <c r="K27" s="32" t="str">
        <f>IF($G$32=6,"X",IF($G$33=6,"X",""))</f>
        <v/>
      </c>
      <c r="L27" s="33" t="str">
        <f>IF($G$32=7,"X",IF($G$33=7,"X",""))</f>
        <v/>
      </c>
    </row>
    <row r="28" spans="1:12" x14ac:dyDescent="0.25">
      <c r="B28" s="3" t="s">
        <v>3</v>
      </c>
      <c r="C28" s="24">
        <f t="shared" si="3"/>
        <v>327.08163265306121</v>
      </c>
      <c r="D28" s="4">
        <f t="shared" si="3"/>
        <v>364.06280193236711</v>
      </c>
      <c r="E28" s="4">
        <f t="shared" si="3"/>
        <v>400.16894977168948</v>
      </c>
      <c r="F28" s="25">
        <f t="shared" si="3"/>
        <v>435.06896551724139</v>
      </c>
      <c r="H28" s="3" t="s">
        <v>3</v>
      </c>
      <c r="I28" s="31" t="str">
        <f>IF($G$32=8,"X",IF($G$33=8,"X",""))</f>
        <v/>
      </c>
      <c r="J28" s="32" t="str">
        <f>IF($G$32=9,"X",IF($G$33=9,"X",""))</f>
        <v/>
      </c>
      <c r="K28" s="32" t="str">
        <f>IF($G$32=10,"X",IF($G$33=10,"X",""))</f>
        <v/>
      </c>
      <c r="L28" s="33" t="str">
        <f>IF($G$32=11,"X",IF($G$33=11,"X",""))</f>
        <v/>
      </c>
    </row>
    <row r="29" spans="1:12" x14ac:dyDescent="0.25">
      <c r="B29" s="3" t="s">
        <v>4</v>
      </c>
      <c r="C29" s="26">
        <f t="shared" si="3"/>
        <v>463.21887824897397</v>
      </c>
      <c r="D29" s="6">
        <f t="shared" si="3"/>
        <v>487.39790575916231</v>
      </c>
      <c r="E29" s="6">
        <f t="shared" si="3"/>
        <v>511.5</v>
      </c>
      <c r="F29" s="27">
        <f t="shared" si="3"/>
        <v>535.27651966626934</v>
      </c>
      <c r="H29" s="3" t="s">
        <v>4</v>
      </c>
      <c r="I29" s="34" t="str">
        <f>IF($G$32=12,"X",IF($G$33=12,"X",""))</f>
        <v/>
      </c>
      <c r="J29" s="35" t="str">
        <f>IF($G$32=13,"X",IF($G$33=13,"X",""))</f>
        <v/>
      </c>
      <c r="K29" s="35" t="str">
        <f>IF($G$32=14,"X",IF($G$33=14,"X",""))</f>
        <v>X</v>
      </c>
      <c r="L29" s="36" t="str">
        <f>IF($G$32=15,"X",IF($G$33=15,"X",""))</f>
        <v>X</v>
      </c>
    </row>
    <row r="31" spans="1:12" x14ac:dyDescent="0.25">
      <c r="A31" s="1"/>
      <c r="F31" s="2" t="s">
        <v>16</v>
      </c>
      <c r="G31" s="1">
        <f>ArrayDiff(C26:F29,"MIN")</f>
        <v>23.776519666269337</v>
      </c>
      <c r="H31" s="5"/>
      <c r="I31" s="1"/>
    </row>
    <row r="32" spans="1:12" x14ac:dyDescent="0.25">
      <c r="F32" s="2" t="s">
        <v>33</v>
      </c>
      <c r="G32" s="1">
        <f>ArrayDiff(C26:F29,"RCM1")</f>
        <v>14</v>
      </c>
      <c r="I32" s="1"/>
    </row>
    <row r="33" spans="6:7" x14ac:dyDescent="0.25">
      <c r="F33" s="2" t="s">
        <v>32</v>
      </c>
      <c r="G33" s="1">
        <f>ArrayDiff(C26:F29,"RCM2")</f>
        <v>15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6"/>
  <sheetViews>
    <sheetView workbookViewId="0">
      <selection activeCell="L2" sqref="L2"/>
    </sheetView>
  </sheetViews>
  <sheetFormatPr defaultRowHeight="15" x14ac:dyDescent="0.25"/>
  <sheetData>
    <row r="2" spans="1:12" x14ac:dyDescent="0.25">
      <c r="A2">
        <v>1</v>
      </c>
      <c r="B2">
        <v>7.55</v>
      </c>
      <c r="K2">
        <v>9</v>
      </c>
      <c r="L2">
        <f t="array" ref="L2">INDEX(A$2:A$5002,MATCH(MIN(ABS(B$2:B$5002-K2)),ABS(B$2:B$5002-K2),0))</f>
        <v>2</v>
      </c>
    </row>
    <row r="3" spans="1:12" x14ac:dyDescent="0.25">
      <c r="A3">
        <v>2</v>
      </c>
      <c r="B3">
        <v>9.33</v>
      </c>
      <c r="K3">
        <v>3</v>
      </c>
      <c r="L3">
        <f t="array" ref="L3">INDEX(A$2:A$5002,MATCH(MIN(ABS(B$2:B$5002-K3)),ABS(B$2:B$5002-K3),0))</f>
        <v>4</v>
      </c>
    </row>
    <row r="4" spans="1:12" x14ac:dyDescent="0.25">
      <c r="A4">
        <v>3</v>
      </c>
      <c r="B4">
        <v>1.05</v>
      </c>
      <c r="K4">
        <v>7</v>
      </c>
      <c r="L4">
        <f t="array" ref="L4">INDEX(A$2:A$5002,MATCH(MIN(ABS(B$2:B$5002-K4)),ABS(B$2:B$5002-K4),0))</f>
        <v>1</v>
      </c>
    </row>
    <row r="5" spans="1:12" x14ac:dyDescent="0.25">
      <c r="A5">
        <v>4</v>
      </c>
      <c r="B5">
        <v>2.38</v>
      </c>
    </row>
    <row r="6" spans="1:12" x14ac:dyDescent="0.25">
      <c r="A6">
        <v>5</v>
      </c>
      <c r="B6">
        <v>6.22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Common</vt:lpstr>
      <vt:lpstr>Unique</vt:lpstr>
      <vt:lpstr>Sheet2</vt:lpstr>
    </vt:vector>
  </TitlesOfParts>
  <Company>WAPA 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Moreno, Ricardo</dc:creator>
  <cp:lastModifiedBy>Ricardo Moreno</cp:lastModifiedBy>
  <dcterms:created xsi:type="dcterms:W3CDTF">2018-02-26T20:36:54Z</dcterms:created>
  <dcterms:modified xsi:type="dcterms:W3CDTF">2018-02-28T03:55:20Z</dcterms:modified>
</cp:coreProperties>
</file>