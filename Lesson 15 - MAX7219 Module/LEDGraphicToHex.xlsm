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ardo\Videos\Elegoo\Lesson15\"/>
    </mc:Choice>
  </mc:AlternateContent>
  <xr:revisionPtr revIDLastSave="0" documentId="13_ncr:1_{44460D1C-C3C6-4342-801E-53A44DFB6912}" xr6:coauthVersionLast="31" xr6:coauthVersionMax="31" xr10:uidLastSave="{00000000-0000-0000-0000-000000000000}"/>
  <bookViews>
    <workbookView xWindow="0" yWindow="0" windowWidth="28800" windowHeight="1351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" i="1" l="1"/>
  <c r="L10" i="1"/>
  <c r="L4" i="1"/>
  <c r="L5" i="1"/>
  <c r="L9" i="1"/>
  <c r="L8" i="1"/>
  <c r="L7" i="1"/>
  <c r="L6" i="1"/>
  <c r="AB9" i="1"/>
  <c r="AB4" i="1"/>
  <c r="AB8" i="1"/>
  <c r="AB11" i="1"/>
  <c r="AB7" i="1"/>
  <c r="AB10" i="1"/>
  <c r="AB5" i="1"/>
  <c r="AB6" i="1"/>
  <c r="AA6" i="1" l="1"/>
  <c r="S6" i="1" s="1"/>
  <c r="AA10" i="1"/>
  <c r="AA5" i="1"/>
  <c r="AA7" i="1"/>
  <c r="AA11" i="1"/>
  <c r="AA8" i="1"/>
  <c r="AA4" i="1"/>
  <c r="AA9" i="1"/>
  <c r="M11" i="1"/>
  <c r="M4" i="1"/>
  <c r="D13" i="1"/>
  <c r="M7" i="1"/>
  <c r="M5" i="1"/>
  <c r="M9" i="1"/>
  <c r="M8" i="1"/>
  <c r="M10" i="1"/>
  <c r="M6" i="1"/>
  <c r="U9" i="1" l="1"/>
  <c r="V9" i="1"/>
  <c r="T9" i="1"/>
  <c r="X9" i="1"/>
  <c r="S9" i="1"/>
  <c r="R9" i="1"/>
  <c r="W9" i="1"/>
  <c r="Y9" i="1"/>
  <c r="V4" i="1"/>
  <c r="U4" i="1"/>
  <c r="Y4" i="1"/>
  <c r="X4" i="1"/>
  <c r="W4" i="1"/>
  <c r="S4" i="1"/>
  <c r="T4" i="1"/>
  <c r="R4" i="1"/>
  <c r="U8" i="1"/>
  <c r="V8" i="1"/>
  <c r="T8" i="1"/>
  <c r="W8" i="1"/>
  <c r="Y8" i="1"/>
  <c r="R8" i="1"/>
  <c r="S8" i="1"/>
  <c r="X8" i="1"/>
  <c r="U11" i="1"/>
  <c r="Y11" i="1"/>
  <c r="W11" i="1"/>
  <c r="V11" i="1"/>
  <c r="R11" i="1"/>
  <c r="X11" i="1"/>
  <c r="T11" i="1"/>
  <c r="S11" i="1"/>
  <c r="W7" i="1"/>
  <c r="X7" i="1"/>
  <c r="Y7" i="1"/>
  <c r="R7" i="1"/>
  <c r="U7" i="1"/>
  <c r="S7" i="1"/>
  <c r="T7" i="1"/>
  <c r="V7" i="1"/>
  <c r="T5" i="1"/>
  <c r="U5" i="1"/>
  <c r="S5" i="1"/>
  <c r="V5" i="1"/>
  <c r="X5" i="1"/>
  <c r="R5" i="1"/>
  <c r="Y5" i="1"/>
  <c r="W5" i="1"/>
  <c r="U10" i="1"/>
  <c r="V10" i="1"/>
  <c r="Y10" i="1"/>
  <c r="X10" i="1"/>
  <c r="S10" i="1"/>
  <c r="W10" i="1"/>
  <c r="T10" i="1"/>
  <c r="R10" i="1"/>
  <c r="T6" i="1"/>
  <c r="X6" i="1"/>
  <c r="Y6" i="1"/>
  <c r="V6" i="1"/>
  <c r="R6" i="1"/>
  <c r="W6" i="1"/>
  <c r="U6" i="1"/>
  <c r="D14" i="1"/>
</calcChain>
</file>

<file path=xl/sharedStrings.xml><?xml version="1.0" encoding="utf-8"?>
<sst xmlns="http://schemas.openxmlformats.org/spreadsheetml/2006/main" count="362" uniqueCount="156">
  <si>
    <t>Columns</t>
  </si>
  <si>
    <t>Rows</t>
  </si>
  <si>
    <t>Binary</t>
  </si>
  <si>
    <t>Hex</t>
  </si>
  <si>
    <t>Binary String =</t>
  </si>
  <si>
    <t>Hex string =</t>
  </si>
  <si>
    <t>M</t>
  </si>
  <si>
    <t>=</t>
  </si>
  <si>
    <t>O</t>
  </si>
  <si>
    <t>R</t>
  </si>
  <si>
    <t>E</t>
  </si>
  <si>
    <t>N</t>
  </si>
  <si>
    <t>Output:</t>
  </si>
  <si>
    <t>Input:</t>
  </si>
  <si>
    <t>y</t>
  </si>
  <si>
    <t>e</t>
  </si>
  <si>
    <t>s</t>
  </si>
  <si>
    <t>x</t>
  </si>
  <si>
    <t>a</t>
  </si>
  <si>
    <t>b</t>
  </si>
  <si>
    <t>c</t>
  </si>
  <si>
    <t>d</t>
  </si>
  <si>
    <t>A</t>
  </si>
  <si>
    <t>B</t>
  </si>
  <si>
    <t>C</t>
  </si>
  <si>
    <t>D</t>
  </si>
  <si>
    <t>F</t>
  </si>
  <si>
    <t>G</t>
  </si>
  <si>
    <t>H</t>
  </si>
  <si>
    <t>I</t>
  </si>
  <si>
    <t>Build here:</t>
  </si>
  <si>
    <t>View Here</t>
  </si>
  <si>
    <t>(Copy hex string to cell above)</t>
  </si>
  <si>
    <t>Alien</t>
  </si>
  <si>
    <t>0x3C, 0x7E, 0xDB, 0xFF, 0xFF, 0xA5, 0xA5, 0x81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</si>
  <si>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</si>
  <si>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</si>
  <si>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</si>
  <si>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</si>
  <si>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</si>
  <si>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</si>
  <si>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</si>
  <si>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</si>
  <si>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</si>
  <si>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</si>
  <si>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</si>
  <si>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</si>
  <si>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</si>
  <si>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</t>
  </si>
  <si>
    <t>u</t>
  </si>
  <si>
    <t>v</t>
  </si>
  <si>
    <t>w</t>
  </si>
  <si>
    <t>z</t>
  </si>
  <si>
    <t>J</t>
  </si>
  <si>
    <t>K</t>
  </si>
  <si>
    <t>L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</si>
  <si>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</si>
  <si>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</si>
  <si>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</si>
  <si>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</si>
  <si>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</si>
  <si>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</si>
  <si>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</si>
  <si>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</si>
  <si>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</si>
  <si>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</si>
  <si>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0x3C, 0x22, 0x22, 0x3C, 0x22, 0x22, 0x3C, 0x0</t>
  </si>
  <si>
    <t>0x1C, 0x22, 0x22, 0x3E, 0x22, 0x22, 0x22, 0x0</t>
  </si>
  <si>
    <t>0x1C, 0x22, 0x20, 0x20, 0x20, 0x22, 0x1C, 0x0</t>
  </si>
  <si>
    <t>0x3C, 0x22, 0x22, 0x22, 0x22, 0x22, 0x3C, 0x0</t>
  </si>
  <si>
    <t>0x3C, 0x20, 0x20, 0x38, 0x20, 0x20, 0x3E, 0x0</t>
  </si>
  <si>
    <t>0x3C, 0x20, 0x20, 0x38, 0x20, 0x20, 0x20, 0x0</t>
  </si>
  <si>
    <t>0x1C, 0x22, 0x20, 0x26, 0x22, 0x22, 0x1C, 0x0</t>
  </si>
  <si>
    <t>0x22, 0x22, 0x22, 0x3E, 0x22, 0x22, 0x22, 0x0</t>
  </si>
  <si>
    <t>0x3E, 0x8, 0x8, 0x8, 0x8, 0x8, 0x3E, 0x0</t>
  </si>
  <si>
    <t>0x1E, 0x4, 0x4, 0x4, 0x4, 0x24, 0x18, 0x0</t>
  </si>
  <si>
    <t>0x82, 0xC6, 0xAA, 0x92, 0x82, 0x82, 0x82, 0x0</t>
  </si>
  <si>
    <t>0x3C, 0x22, 0x22, 0x3C, 0x28, 0x24, 0x22, 0x0</t>
  </si>
  <si>
    <t>0x1C, 0x22, 0x22, 0x22, 0x22, 0x22, 0x1C, 0x0</t>
  </si>
  <si>
    <t>0x3C, 0x22, 0x22, 0x3C, 0x20, 0x20, 0x20, 0x0</t>
  </si>
  <si>
    <t>0x22, 0x24, 0x28, 0x30, 0x28, 0x24, 0x22, 0x0</t>
  </si>
  <si>
    <t>0x20, 0x20, 0x20, 0x20, 0x20, 0x20, 0x3E, 0x0</t>
  </si>
  <si>
    <t>0x1C, 0x22, 0x22, 0x22, 0x2A, 0x24, 0x1A, 0x0</t>
  </si>
  <si>
    <t>0x1C, 0x22, 0x20, 0x1C, 0x2, 0x22, 0x1C, 0x0</t>
  </si>
  <si>
    <t>0x3E, 0x22, 0x4, 0x8, 0x10, 0x22, 0x3E, 0x0</t>
  </si>
  <si>
    <t>0x0, 0x0, 0x1C, 0x22, 0x22, 0x1E, 0x2, 0x1C</t>
  </si>
  <si>
    <t>0x0, 0xC, 0x12, 0x10, 0x38, 0x10, 0x10, 0x0</t>
  </si>
  <si>
    <t>0x0, 0x0, 0x1C, 0x22, 0x3E, 0x20, 0x1C, 0x0</t>
  </si>
  <si>
    <t>0x2, 0x2, 0x1E, 0x22, 0x22, 0x22, 0x1C, 0x0</t>
  </si>
  <si>
    <t>0x0, 0x0, 0x1C, 0x22, 0x20, 0x22, 0x1C, 0x0</t>
  </si>
  <si>
    <t>0x20, 0x20, 0x3C, 0x22, 0x22, 0x22, 0x1C, 0x0</t>
  </si>
  <si>
    <t>0x0, 0x0, 0x18, 0x4, 0x1C, 0x24, 0x1A, 0x0</t>
  </si>
  <si>
    <t>0x0, 0x0, 0x1C, 0x20, 0x1C, 0x2, 0x1C, 0x0</t>
  </si>
  <si>
    <t>0x0, 0x0, 0x22, 0x22, 0x22, 0x1E, 0x2, 0x1C</t>
  </si>
  <si>
    <t>0x20, 0x20, 0x20, 0x3C, 0x22, 0x22, 0x22, 0x0</t>
  </si>
  <si>
    <t>0x3E, 0x8, 0x8, 0x8, 0x8, 0x8, 0x8, 0x0</t>
  </si>
  <si>
    <t>0x22, 0x22, 0x14, 0x8, 0x8, 0x8, 0x8, 0x0</t>
  </si>
  <si>
    <t>0x0, 0x2, 0x0, 0x2, 0x2, 0x2, 0x12, 0xC</t>
  </si>
  <si>
    <t>0x0, 0x2, 0x12, 0x14, 0x18, 0x14, 0x12, 0x0</t>
  </si>
  <si>
    <t>0x0, 0x0, 0x14, 0x2A, 0x2A, 0x22, 0x22, 0x0</t>
  </si>
  <si>
    <t>0x0, 0x0, 0x1C, 0x12, 0x12, 0x12, 0x12, 0x0</t>
  </si>
  <si>
    <t>0x0, 0x0, 0x1C, 0x22, 0x22, 0x22, 0x1C, 0x0</t>
  </si>
  <si>
    <t>0x0, 0x1C, 0x22, 0x22, 0x22, 0x3C, 0x20, 0x20</t>
  </si>
  <si>
    <t>0x0, 0x1C, 0x22, 0x22, 0x22, 0x1E, 0x2, 0x2</t>
  </si>
  <si>
    <t>0x0, 0x0, 0x2C, 0x32, 0x20, 0x20, 0x20, 0x0</t>
  </si>
  <si>
    <t>0x0, 0x8, 0x8, 0x1E, 0x8, 0x8, 0x6, 0x0</t>
  </si>
  <si>
    <t>0x0, 0x0, 0x22, 0x22, 0x22, 0x22, 0x1C, 0x0</t>
  </si>
  <si>
    <t>0x0, 0x0, 0x22, 0x22, 0x14, 0x14, 0x8, 0x0</t>
  </si>
  <si>
    <t>0x0, 0x0, 0x82, 0x82, 0x54, 0x54, 0x28, 0x0</t>
  </si>
  <si>
    <t>0x0, 0x0, 0x22, 0x14, 0x8, 0x14, 0x22, 0x0</t>
  </si>
  <si>
    <t>0x0, 0x0, 0x3E, 0x4, 0x8, 0x10, 0x3E, 0x0</t>
  </si>
  <si>
    <t>[</t>
  </si>
  <si>
    <t>\</t>
  </si>
  <si>
    <t>]</t>
  </si>
  <si>
    <t>^</t>
  </si>
  <si>
    <t>_</t>
  </si>
  <si>
    <t>`</t>
  </si>
  <si>
    <t>0xE, 0x8, 0x8, 0x8, 0x8, 0x8, 0xE, 0x0</t>
  </si>
  <si>
    <t>0x0, 0x8, 0x8, 0x4, 0x4, 0x2, 0x2, 0x0</t>
  </si>
  <si>
    <t>0xE, 0x2, 0x2, 0x2, 0x2, 0x2, 0xE, 0x0</t>
  </si>
  <si>
    <t>0x0, 0x8, 0x14, 0x22, 0x0, 0x0, 0x0, 0x0</t>
  </si>
  <si>
    <t>0x0, 0x0, 0x0, 0x0, 0x0, 0x0, 0x3E, 0x0</t>
  </si>
  <si>
    <t>0x2, 0x2, 0x0, 0x0, 0x0, 0x0, 0x0, 0x0</t>
  </si>
  <si>
    <t>&amp;</t>
  </si>
  <si>
    <t>0x18, 0x24, 0x20, 0x36, 0x48, 0x44, 0x3A, 0x0</t>
  </si>
  <si>
    <t>0x42, 0x42, 0x62, 0x52, 0x4A, 0x46, 0x42, 0x0</t>
  </si>
  <si>
    <t>*</t>
  </si>
  <si>
    <t>0x8, 0x2A, 0x1C, 0x8, 0x1C, 0x2A, 0x8, 0x0</t>
  </si>
  <si>
    <t>0x0, 0x8, 0x0, 0x18, 0x8, 0x8, 0xC, 0x0</t>
  </si>
  <si>
    <t>0x0, 0x18, 0x8, 0x8, 0x8, 0x8, 0x1C, 0x0</t>
  </si>
  <si>
    <t>0x7E, 0x66, 0x66, 0x66, 0x7E, 0x60, 0x60, 0x0</t>
  </si>
  <si>
    <t>0x7E, 0x66, 0x60, 0x6E, 0x6E, 0x66, 0x7E, 0x0</t>
  </si>
  <si>
    <t>0x0, 0x34, 0x2A, 0x2A, 0x2A, 0x22, 0x62, 0x0</t>
  </si>
  <si>
    <t>0x0, 0x22, 0x22, 0x14, 0x14, 0x14, 0x8, 0x0</t>
  </si>
  <si>
    <t>0x3C, 0x66, 0x66, 0x66, 0x66, 0x66, 0x3C, 0x0</t>
  </si>
  <si>
    <t>0x3C, 0x62, 0x60, 0x7E, 0x6, 0x46, 0x3C, 0x0</t>
  </si>
  <si>
    <t>0x46, 0x66, 0x76, 0x7E, 0x6E, 0x66, 0x62, 0x0</t>
  </si>
  <si>
    <t>0x3C, 0x66, 0x66, 0x7E, 0x66, 0x66, 0x66, 0x0</t>
  </si>
  <si>
    <t>0x66, 0x6E, 0x7C, 0x70, 0x7C, 0x6E, 0x66, 0x0</t>
  </si>
  <si>
    <t>Bold</t>
  </si>
  <si>
    <t>0x78, 0x64, 0x64, 0x7E, 0x62, 0x62, 0x7C, 0x0</t>
  </si>
  <si>
    <t>0x7E, 0x66, 0x60, 0x60, 0x60, 0x66, 0x7E, 0x0</t>
  </si>
  <si>
    <t>0x7C, 0x62, 0x62, 0x62, 0x62, 0x62, 0x7C, 0x0</t>
  </si>
  <si>
    <t>0x7E, 0x66, 0x60, 0x7C, 0x60, 0x66, 0x7E, 0x0</t>
  </si>
  <si>
    <t>0x0, 0x38, 0x18, 0x18, 0x18, 0x18, 0x3C, 0x0</t>
  </si>
  <si>
    <t>0x0, 0x0, 0x66, 0x66, 0x66, 0x7E, 0x6, 0x3C</t>
  </si>
  <si>
    <t>0x0, 0x7C, 0x60, 0x7E, 0x6, 0x46, 0x7E, 0x0</t>
  </si>
  <si>
    <t>0x0, 0x34, 0x3A, 0x30, 0x30, 0x30, 0x70, 0x0</t>
  </si>
  <si>
    <t>0x20, 0x30, 0x7C, 0x30, 0x30, 0x36, 0x1E, 0x0</t>
  </si>
  <si>
    <t>0x0, 0x3C, 0x66, 0x66, 0x66, 0x66, 0x3C, 0x0</t>
  </si>
  <si>
    <t>0x0, 0x3C, 0x62, 0x7E, 0x60, 0x66, 0x3E, 0x0</t>
  </si>
  <si>
    <t>0x18, 0x5A, 0x3C, 0x18, 0x3C, 0x5A, 0x18, 0x0</t>
  </si>
  <si>
    <t>0x0, 0x38, 0xC, 0x3C, 0x4C, 0x4C, 0x36, 0x0</t>
  </si>
  <si>
    <t>0x0, 0x5C, 0x36, 0x36, 0x30, 0x30, 0x70, 0x0</t>
  </si>
  <si>
    <t>-</t>
  </si>
  <si>
    <t>0x0, 0x0, 0x0, 0x7C, 0x3E, 0x0, 0x0, 0x0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</si>
</sst>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0" xfId="0" applyBorder="1"/>
    <xf numFmtId="0" fontId="3" fillId="2" borderId="0" xfId="0" applyFont="1" applyFill="1"/>
    <xf numFmtId="0" fontId="0" fillId="2" borderId="0" xfId="0" applyFill="1"/>
    <xf numFmtId="0" fontId="3" fillId="3" borderId="0" xfId="0" applyFont="1" applyFill="1"/>
    <xf numFmtId="0" fontId="0" fillId="3" borderId="0" xfId="0" applyFill="1"/>
    <xf numFmtId="0" fontId="0" fillId="0" borderId="0" xfId="0" applyBorder="1" applyAlignment="1"/>
    <xf numFmtId="0" fontId="0" fillId="3" borderId="0" xfId="0" applyFill="1" applyAlignment="1">
      <alignment vertical="top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8" xfId="0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quotePrefix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Border="1"/>
    <xf numFmtId="0" fontId="2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right"/>
    </xf>
  </cellXfs>
  <cellStyles count="1"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58"/>
  <sheetViews>
    <sheetView tabSelected="1" zoomScale="85" zoomScaleNormal="85" workbookViewId="0">
      <selection activeCell="AF46" sqref="AF46:AG46"/>
    </sheetView>
  </sheetViews>
  <sheetFormatPr defaultRowHeight="15" x14ac:dyDescent="0.25"/>
  <cols>
    <col min="1" max="11" width="5.7109375" customWidth="1"/>
    <col min="16" max="26" width="5.7109375" customWidth="1"/>
    <col min="27" max="27" width="9.140625" customWidth="1"/>
  </cols>
  <sheetData>
    <row r="1" spans="1:29" ht="26.25" x14ac:dyDescent="0.4">
      <c r="A1" s="28" t="s">
        <v>30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30" t="s">
        <v>31</v>
      </c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</row>
    <row r="2" spans="1:29" ht="30" customHeight="1" x14ac:dyDescent="0.25">
      <c r="B2" s="52" t="s">
        <v>0</v>
      </c>
      <c r="C2" s="52"/>
      <c r="D2" s="52"/>
      <c r="E2" s="52"/>
      <c r="F2" s="52"/>
      <c r="G2" s="52"/>
      <c r="H2" s="52"/>
      <c r="I2" s="52"/>
      <c r="J2" s="52"/>
      <c r="Q2" s="52" t="s">
        <v>0</v>
      </c>
      <c r="R2" s="52"/>
      <c r="S2" s="52"/>
      <c r="T2" s="52"/>
      <c r="U2" s="52"/>
      <c r="V2" s="52"/>
      <c r="W2" s="52"/>
      <c r="X2" s="52"/>
      <c r="Y2" s="52"/>
    </row>
    <row r="3" spans="1:29" ht="30" customHeight="1" x14ac:dyDescent="0.3">
      <c r="A3" s="50" t="s">
        <v>1</v>
      </c>
      <c r="B3" s="1"/>
      <c r="C3" s="9">
        <v>0</v>
      </c>
      <c r="D3" s="10">
        <v>1</v>
      </c>
      <c r="E3" s="10">
        <v>2</v>
      </c>
      <c r="F3" s="10">
        <v>3</v>
      </c>
      <c r="G3" s="10">
        <v>4</v>
      </c>
      <c r="H3" s="10">
        <v>5</v>
      </c>
      <c r="I3" s="10">
        <v>6</v>
      </c>
      <c r="J3" s="11">
        <v>7</v>
      </c>
      <c r="L3" s="2" t="s">
        <v>2</v>
      </c>
      <c r="M3" s="2" t="s">
        <v>3</v>
      </c>
      <c r="P3" s="50" t="s">
        <v>1</v>
      </c>
      <c r="Q3" s="1"/>
      <c r="R3" s="9">
        <v>0</v>
      </c>
      <c r="S3" s="10">
        <v>1</v>
      </c>
      <c r="T3" s="10">
        <v>2</v>
      </c>
      <c r="U3" s="10">
        <v>3</v>
      </c>
      <c r="V3" s="10">
        <v>4</v>
      </c>
      <c r="W3" s="10">
        <v>5</v>
      </c>
      <c r="X3" s="10">
        <v>6</v>
      </c>
      <c r="Y3" s="11">
        <v>7</v>
      </c>
      <c r="AA3" s="2" t="s">
        <v>2</v>
      </c>
      <c r="AB3" s="2" t="s">
        <v>3</v>
      </c>
    </row>
    <row r="4" spans="1:29" ht="30" customHeight="1" x14ac:dyDescent="0.25">
      <c r="A4" s="50"/>
      <c r="B4" s="12">
        <v>0</v>
      </c>
      <c r="C4" s="34"/>
      <c r="D4" s="35"/>
      <c r="E4" s="35"/>
      <c r="F4" s="35"/>
      <c r="G4" s="35"/>
      <c r="H4" s="35"/>
      <c r="I4" s="35"/>
      <c r="J4" s="36"/>
      <c r="L4" s="3" t="str">
        <f t="shared" ref="L4:L11" si="0">CONCATENATE(IF(isColorFilled(C4),"1","0"),IF(isColorFilled(D4),"1","0"),IF(isColorFilled(E4),"1","0"),IF(isColorFilled(F4),"1","0"),IF(isColorFilled(G4),"1","0"),IF(isColorFilled(H4),"1","0"),IF(isColorFilled(I4),"1","0"),IF(isColorFilled(J4),"1","0"))</f>
        <v>00000000</v>
      </c>
      <c r="M4" s="4" t="str">
        <f>BIN2HEX(L4)</f>
        <v>0</v>
      </c>
      <c r="P4" s="50"/>
      <c r="Q4" s="12">
        <v>0</v>
      </c>
      <c r="R4" s="20" t="str">
        <f>IF(MID($AA4,1,1)="1","X","")</f>
        <v/>
      </c>
      <c r="S4" s="15" t="str">
        <f>IF(MID($AA4,2,1)="1","X","")</f>
        <v/>
      </c>
      <c r="T4" s="15" t="str">
        <f>IF(MID($AA4,3,1)="1","X","")</f>
        <v/>
      </c>
      <c r="U4" s="15" t="str">
        <f>IF(MID($AA4,4,1)="1","X","")</f>
        <v/>
      </c>
      <c r="V4" s="15" t="str">
        <f>IF(MID($AA4,5,1)="1","X","")</f>
        <v/>
      </c>
      <c r="W4" s="15" t="str">
        <f>IF(MID($AA4,6,1)="1","X","")</f>
        <v/>
      </c>
      <c r="X4" s="15" t="str">
        <f>IF(MID($AA4,7,1)="1","X","")</f>
        <v/>
      </c>
      <c r="Y4" s="21" t="str">
        <f>IF(MID($AA4,8,1)="1","X","")</f>
        <v/>
      </c>
      <c r="AA4" s="24" t="str">
        <f>HEX2BIN(AB4,8)</f>
        <v>00000000</v>
      </c>
      <c r="AB4" s="4" t="str">
        <f>MIDSeries($S$14,1)</f>
        <v>0</v>
      </c>
    </row>
    <row r="5" spans="1:29" ht="30" customHeight="1" x14ac:dyDescent="0.25">
      <c r="A5" s="50"/>
      <c r="B5" s="13">
        <v>1</v>
      </c>
      <c r="C5" s="37"/>
      <c r="D5" s="38"/>
      <c r="E5" s="38"/>
      <c r="F5" s="38"/>
      <c r="G5" s="38"/>
      <c r="H5" s="38"/>
      <c r="I5" s="38"/>
      <c r="J5" s="39"/>
      <c r="L5" s="5" t="str">
        <f t="shared" si="0"/>
        <v>00000000</v>
      </c>
      <c r="M5" s="6" t="str">
        <f>BIN2HEX(L5)</f>
        <v>0</v>
      </c>
      <c r="P5" s="50"/>
      <c r="Q5" s="13">
        <v>1</v>
      </c>
      <c r="R5" s="22" t="str">
        <f t="shared" ref="R5:R11" si="1">IF(MID($AA5,1,1)="1","X","")</f>
        <v/>
      </c>
      <c r="S5" s="16" t="str">
        <f t="shared" ref="S5:S11" si="2">IF(MID($AA5,2,1)="1","X","")</f>
        <v/>
      </c>
      <c r="T5" s="16" t="str">
        <f t="shared" ref="T5:T11" si="3">IF(MID($AA5,3,1)="1","X","")</f>
        <v>X</v>
      </c>
      <c r="U5" s="16" t="str">
        <f t="shared" ref="U5:U11" si="4">IF(MID($AA5,4,1)="1","X","")</f>
        <v>X</v>
      </c>
      <c r="V5" s="16" t="str">
        <f t="shared" ref="V5:V11" si="5">IF(MID($AA5,5,1)="1","X","")</f>
        <v/>
      </c>
      <c r="W5" s="16" t="str">
        <f t="shared" ref="W5:W11" si="6">IF(MID($AA5,6,1)="1","X","")</f>
        <v>X</v>
      </c>
      <c r="X5" s="16" t="str">
        <f t="shared" ref="X5:X11" si="7">IF(MID($AA5,7,1)="1","X","")</f>
        <v/>
      </c>
      <c r="Y5" s="17" t="str">
        <f t="shared" ref="Y5:Y11" si="8">IF(MID($AA5,8,1)="1","X","")</f>
        <v/>
      </c>
      <c r="AA5" s="25" t="str">
        <f>HEX2BIN(AB5,8)</f>
        <v>00110100</v>
      </c>
      <c r="AB5" s="6" t="str">
        <f>MIDSeries($S$14,2)</f>
        <v>34</v>
      </c>
    </row>
    <row r="6" spans="1:29" ht="30" customHeight="1" x14ac:dyDescent="0.25">
      <c r="A6" s="50"/>
      <c r="B6" s="13">
        <v>2</v>
      </c>
      <c r="C6" s="37"/>
      <c r="D6" s="38"/>
      <c r="E6" s="38"/>
      <c r="F6" s="38"/>
      <c r="G6" s="38"/>
      <c r="H6" s="38"/>
      <c r="I6" s="38"/>
      <c r="J6" s="39"/>
      <c r="L6" s="5" t="str">
        <f t="shared" si="0"/>
        <v>00000000</v>
      </c>
      <c r="M6" s="6" t="str">
        <f t="shared" ref="M6:M11" si="9">BIN2HEX(L6)</f>
        <v>0</v>
      </c>
      <c r="P6" s="50"/>
      <c r="Q6" s="13">
        <v>2</v>
      </c>
      <c r="R6" s="22" t="str">
        <f t="shared" si="1"/>
        <v/>
      </c>
      <c r="S6" s="16" t="str">
        <f t="shared" si="2"/>
        <v/>
      </c>
      <c r="T6" s="16" t="str">
        <f t="shared" si="3"/>
        <v>X</v>
      </c>
      <c r="U6" s="16" t="str">
        <f t="shared" si="4"/>
        <v>X</v>
      </c>
      <c r="V6" s="16" t="str">
        <f t="shared" si="5"/>
        <v>X</v>
      </c>
      <c r="W6" s="16" t="str">
        <f t="shared" si="6"/>
        <v/>
      </c>
      <c r="X6" s="16" t="str">
        <f t="shared" si="7"/>
        <v>X</v>
      </c>
      <c r="Y6" s="17" t="str">
        <f t="shared" si="8"/>
        <v/>
      </c>
      <c r="AA6" s="25" t="str">
        <f t="shared" ref="AA6:AA10" si="10">HEX2BIN(AB6,8)</f>
        <v>00111010</v>
      </c>
      <c r="AB6" s="6" t="str">
        <f>MIDSeries($S$14,3)</f>
        <v>3A</v>
      </c>
    </row>
    <row r="7" spans="1:29" ht="30" customHeight="1" x14ac:dyDescent="0.25">
      <c r="A7" s="50"/>
      <c r="B7" s="13">
        <v>3</v>
      </c>
      <c r="C7" s="37"/>
      <c r="D7" s="38" t="s">
        <v>17</v>
      </c>
      <c r="E7" s="38" t="s">
        <v>17</v>
      </c>
      <c r="F7" s="38" t="s">
        <v>17</v>
      </c>
      <c r="G7" s="38" t="s">
        <v>17</v>
      </c>
      <c r="H7" s="38" t="s">
        <v>17</v>
      </c>
      <c r="I7" s="38"/>
      <c r="J7" s="39"/>
      <c r="L7" s="5" t="str">
        <f t="shared" si="0"/>
        <v>01111100</v>
      </c>
      <c r="M7" s="6" t="str">
        <f t="shared" si="9"/>
        <v>7C</v>
      </c>
      <c r="P7" s="50"/>
      <c r="Q7" s="13">
        <v>3</v>
      </c>
      <c r="R7" s="22" t="str">
        <f t="shared" si="1"/>
        <v/>
      </c>
      <c r="S7" s="16" t="str">
        <f t="shared" si="2"/>
        <v/>
      </c>
      <c r="T7" s="16" t="str">
        <f t="shared" si="3"/>
        <v>X</v>
      </c>
      <c r="U7" s="16" t="str">
        <f t="shared" si="4"/>
        <v>X</v>
      </c>
      <c r="V7" s="16" t="str">
        <f t="shared" si="5"/>
        <v/>
      </c>
      <c r="W7" s="16" t="str">
        <f t="shared" si="6"/>
        <v/>
      </c>
      <c r="X7" s="16" t="str">
        <f t="shared" si="7"/>
        <v/>
      </c>
      <c r="Y7" s="17" t="str">
        <f t="shared" si="8"/>
        <v/>
      </c>
      <c r="AA7" s="25" t="str">
        <f t="shared" si="10"/>
        <v>00110000</v>
      </c>
      <c r="AB7" s="6" t="str">
        <f>MIDSeries($S$14,4)</f>
        <v>30</v>
      </c>
    </row>
    <row r="8" spans="1:29" ht="30" customHeight="1" x14ac:dyDescent="0.25">
      <c r="A8" s="50"/>
      <c r="B8" s="13">
        <v>4</v>
      </c>
      <c r="C8" s="37"/>
      <c r="D8" s="38"/>
      <c r="E8" s="38" t="s">
        <v>17</v>
      </c>
      <c r="F8" s="38" t="s">
        <v>17</v>
      </c>
      <c r="G8" s="38" t="s">
        <v>17</v>
      </c>
      <c r="H8" s="38" t="s">
        <v>17</v>
      </c>
      <c r="I8" s="38" t="s">
        <v>17</v>
      </c>
      <c r="J8" s="39"/>
      <c r="L8" s="5" t="str">
        <f t="shared" si="0"/>
        <v>00111110</v>
      </c>
      <c r="M8" s="6" t="str">
        <f t="shared" si="9"/>
        <v>3E</v>
      </c>
      <c r="P8" s="50"/>
      <c r="Q8" s="13">
        <v>4</v>
      </c>
      <c r="R8" s="22" t="str">
        <f t="shared" si="1"/>
        <v/>
      </c>
      <c r="S8" s="16" t="str">
        <f t="shared" si="2"/>
        <v/>
      </c>
      <c r="T8" s="16" t="str">
        <f t="shared" si="3"/>
        <v>X</v>
      </c>
      <c r="U8" s="16" t="str">
        <f t="shared" si="4"/>
        <v>X</v>
      </c>
      <c r="V8" s="16" t="str">
        <f t="shared" si="5"/>
        <v/>
      </c>
      <c r="W8" s="16" t="str">
        <f t="shared" si="6"/>
        <v/>
      </c>
      <c r="X8" s="16" t="str">
        <f t="shared" si="7"/>
        <v/>
      </c>
      <c r="Y8" s="17" t="str">
        <f t="shared" si="8"/>
        <v/>
      </c>
      <c r="AA8" s="25" t="str">
        <f t="shared" si="10"/>
        <v>00110000</v>
      </c>
      <c r="AB8" s="6" t="str">
        <f>MIDSeries($S$14,5)</f>
        <v>30</v>
      </c>
    </row>
    <row r="9" spans="1:29" ht="30" customHeight="1" x14ac:dyDescent="0.25">
      <c r="A9" s="50"/>
      <c r="B9" s="13">
        <v>5</v>
      </c>
      <c r="C9" s="37"/>
      <c r="D9" s="38"/>
      <c r="E9" s="38"/>
      <c r="F9" s="38"/>
      <c r="G9" s="38"/>
      <c r="H9" s="38"/>
      <c r="I9" s="38"/>
      <c r="J9" s="39"/>
      <c r="L9" s="5" t="str">
        <f t="shared" si="0"/>
        <v>00000000</v>
      </c>
      <c r="M9" s="6" t="str">
        <f t="shared" si="9"/>
        <v>0</v>
      </c>
      <c r="P9" s="50"/>
      <c r="Q9" s="13">
        <v>5</v>
      </c>
      <c r="R9" s="22" t="str">
        <f t="shared" si="1"/>
        <v/>
      </c>
      <c r="S9" s="16" t="str">
        <f t="shared" si="2"/>
        <v/>
      </c>
      <c r="T9" s="16" t="str">
        <f t="shared" si="3"/>
        <v>X</v>
      </c>
      <c r="U9" s="16" t="str">
        <f t="shared" si="4"/>
        <v>X</v>
      </c>
      <c r="V9" s="16" t="str">
        <f t="shared" si="5"/>
        <v/>
      </c>
      <c r="W9" s="16" t="str">
        <f t="shared" si="6"/>
        <v/>
      </c>
      <c r="X9" s="16" t="str">
        <f t="shared" si="7"/>
        <v/>
      </c>
      <c r="Y9" s="17" t="str">
        <f t="shared" si="8"/>
        <v/>
      </c>
      <c r="AA9" s="25" t="str">
        <f t="shared" si="10"/>
        <v>00110000</v>
      </c>
      <c r="AB9" s="6" t="str">
        <f>MIDSeries($S$14,6)</f>
        <v>30</v>
      </c>
    </row>
    <row r="10" spans="1:29" ht="30" customHeight="1" x14ac:dyDescent="0.25">
      <c r="A10" s="50"/>
      <c r="B10" s="13">
        <v>6</v>
      </c>
      <c r="C10" s="37"/>
      <c r="D10" s="38"/>
      <c r="E10" s="38"/>
      <c r="F10" s="38"/>
      <c r="G10" s="38"/>
      <c r="H10" s="38"/>
      <c r="I10" s="38"/>
      <c r="J10" s="39"/>
      <c r="L10" s="5" t="str">
        <f t="shared" si="0"/>
        <v>00000000</v>
      </c>
      <c r="M10" s="6" t="str">
        <f t="shared" si="9"/>
        <v>0</v>
      </c>
      <c r="P10" s="50"/>
      <c r="Q10" s="13">
        <v>6</v>
      </c>
      <c r="R10" s="22" t="str">
        <f t="shared" si="1"/>
        <v/>
      </c>
      <c r="S10" s="16" t="str">
        <f t="shared" si="2"/>
        <v>X</v>
      </c>
      <c r="T10" s="16" t="str">
        <f t="shared" si="3"/>
        <v>X</v>
      </c>
      <c r="U10" s="16" t="str">
        <f t="shared" si="4"/>
        <v>X</v>
      </c>
      <c r="V10" s="16" t="str">
        <f t="shared" si="5"/>
        <v/>
      </c>
      <c r="W10" s="16" t="str">
        <f t="shared" si="6"/>
        <v/>
      </c>
      <c r="X10" s="16" t="str">
        <f t="shared" si="7"/>
        <v/>
      </c>
      <c r="Y10" s="17" t="str">
        <f t="shared" si="8"/>
        <v/>
      </c>
      <c r="AA10" s="25" t="str">
        <f t="shared" si="10"/>
        <v>01110000</v>
      </c>
      <c r="AB10" s="6" t="str">
        <f>MIDSeries($S$14,7)</f>
        <v>70</v>
      </c>
    </row>
    <row r="11" spans="1:29" ht="30" customHeight="1" x14ac:dyDescent="0.25">
      <c r="A11" s="50"/>
      <c r="B11" s="14">
        <v>7</v>
      </c>
      <c r="C11" s="40"/>
      <c r="D11" s="41"/>
      <c r="E11" s="41"/>
      <c r="F11" s="41"/>
      <c r="G11" s="41"/>
      <c r="H11" s="41"/>
      <c r="I11" s="41"/>
      <c r="J11" s="42"/>
      <c r="L11" s="7" t="str">
        <f t="shared" si="0"/>
        <v>00000000</v>
      </c>
      <c r="M11" s="8" t="str">
        <f t="shared" si="9"/>
        <v>0</v>
      </c>
      <c r="P11" s="50"/>
      <c r="Q11" s="14">
        <v>7</v>
      </c>
      <c r="R11" s="23" t="str">
        <f t="shared" si="1"/>
        <v/>
      </c>
      <c r="S11" s="18" t="str">
        <f t="shared" si="2"/>
        <v/>
      </c>
      <c r="T11" s="18" t="str">
        <f t="shared" si="3"/>
        <v/>
      </c>
      <c r="U11" s="18" t="str">
        <f t="shared" si="4"/>
        <v/>
      </c>
      <c r="V11" s="18" t="str">
        <f t="shared" si="5"/>
        <v/>
      </c>
      <c r="W11" s="18" t="str">
        <f t="shared" si="6"/>
        <v/>
      </c>
      <c r="X11" s="18" t="str">
        <f t="shared" si="7"/>
        <v/>
      </c>
      <c r="Y11" s="19" t="str">
        <f t="shared" si="8"/>
        <v/>
      </c>
      <c r="AA11" s="26" t="str">
        <f>HEX2BIN(AB11,8)</f>
        <v>00000000</v>
      </c>
      <c r="AB11" s="8" t="str">
        <f>MIDSeries($S$14,8)</f>
        <v>0</v>
      </c>
    </row>
    <row r="12" spans="1:29" ht="30" customHeight="1" x14ac:dyDescent="0.25">
      <c r="A12" t="s">
        <v>12</v>
      </c>
      <c r="P12" t="s">
        <v>13</v>
      </c>
    </row>
    <row r="13" spans="1:29" ht="30" customHeight="1" x14ac:dyDescent="0.25">
      <c r="A13" s="51" t="s">
        <v>4</v>
      </c>
      <c r="B13" s="51"/>
      <c r="C13" s="51"/>
      <c r="D13" s="32" t="str">
        <f>CONCATENATE("B",L4,", ","B",L5,", ","B",L6,", ","B",L7,", ","B",L8,", ","B",L9,", ","B",L10,", ","B",L11)</f>
        <v>B00000000, B00000000, B00000000, B01111100, B00111110, B00000000, B00000000, B00000000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53" t="s">
        <v>4</v>
      </c>
      <c r="Q13" s="53"/>
      <c r="R13" s="53"/>
      <c r="S13" s="48"/>
      <c r="T13" s="49"/>
      <c r="U13" s="49"/>
      <c r="V13" s="49"/>
      <c r="W13" s="49"/>
      <c r="X13" s="49"/>
      <c r="Y13" s="49"/>
      <c r="Z13" s="49"/>
      <c r="AA13" s="49"/>
      <c r="AB13" s="49"/>
      <c r="AC13" s="27"/>
    </row>
    <row r="14" spans="1:29" ht="30" customHeight="1" x14ac:dyDescent="0.25">
      <c r="A14" s="51" t="s">
        <v>5</v>
      </c>
      <c r="B14" s="51"/>
      <c r="C14" s="51"/>
      <c r="D14" s="32" t="str">
        <f>CONCATENATE("0x",M4,", ","0x",M5,", ","0x",M6,", ","0x",M7,", ","0x",M8,", ","0x",M9,", ","0x",M10,", ","0x",M11)</f>
        <v>0x0, 0x0, 0x0, 0x7C, 0x3E, 0x0, 0x0, 0x0</v>
      </c>
      <c r="E14" s="32"/>
      <c r="F14" s="32"/>
      <c r="G14" s="32"/>
      <c r="H14" s="32"/>
      <c r="I14" s="32"/>
      <c r="J14" s="32"/>
      <c r="K14" s="32"/>
      <c r="L14" s="32"/>
      <c r="M14" s="32"/>
      <c r="N14" s="27"/>
      <c r="O14" s="27"/>
      <c r="P14" s="53" t="s">
        <v>5</v>
      </c>
      <c r="Q14" s="53"/>
      <c r="R14" s="53"/>
      <c r="S14" t="s">
        <v>147</v>
      </c>
      <c r="T14" s="47"/>
      <c r="U14" s="47"/>
      <c r="V14" s="47"/>
      <c r="W14" s="47"/>
      <c r="X14" s="47"/>
      <c r="Y14" s="47"/>
      <c r="Z14" s="47"/>
      <c r="AA14" s="47"/>
      <c r="AB14" s="47"/>
      <c r="AC14" s="27"/>
    </row>
    <row r="15" spans="1:29" ht="15" customHeight="1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31"/>
      <c r="Q15" s="31"/>
      <c r="R15" s="31"/>
      <c r="S15" s="33" t="s">
        <v>32</v>
      </c>
      <c r="T15" s="31"/>
      <c r="U15" s="31"/>
      <c r="V15" s="31"/>
      <c r="W15" s="31"/>
      <c r="X15" s="31"/>
      <c r="Y15" s="31"/>
      <c r="Z15" s="31"/>
      <c r="AA15" s="31"/>
      <c r="AB15" s="31"/>
      <c r="AC15" s="31"/>
    </row>
    <row r="16" spans="1:29" ht="15" customHeight="1" x14ac:dyDescent="0.25">
      <c r="AA16" t="s">
        <v>139</v>
      </c>
    </row>
    <row r="17" spans="1:36" x14ac:dyDescent="0.25">
      <c r="A17" s="43" t="s">
        <v>33</v>
      </c>
      <c r="B17" s="44" t="s">
        <v>7</v>
      </c>
      <c r="C17" s="43" t="s">
        <v>34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</row>
    <row r="18" spans="1:36" x14ac:dyDescent="0.25">
      <c r="A18" s="45" t="s">
        <v>22</v>
      </c>
      <c r="B18" s="44" t="s">
        <v>7</v>
      </c>
      <c r="C18" s="43" t="s">
        <v>67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5" t="s">
        <v>18</v>
      </c>
      <c r="O18" s="44" t="s">
        <v>7</v>
      </c>
      <c r="P18" s="43" t="s">
        <v>91</v>
      </c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5" t="s">
        <v>22</v>
      </c>
      <c r="AB18" s="44" t="s">
        <v>7</v>
      </c>
      <c r="AC18" s="43" t="s">
        <v>137</v>
      </c>
      <c r="AH18" s="45" t="s">
        <v>18</v>
      </c>
      <c r="AI18" s="44" t="s">
        <v>7</v>
      </c>
      <c r="AJ18" t="s">
        <v>152</v>
      </c>
    </row>
    <row r="19" spans="1:36" x14ac:dyDescent="0.25">
      <c r="A19" s="45" t="s">
        <v>23</v>
      </c>
      <c r="B19" s="44" t="s">
        <v>7</v>
      </c>
      <c r="C19" s="43" t="s">
        <v>66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5" t="s">
        <v>19</v>
      </c>
      <c r="O19" s="44" t="s">
        <v>7</v>
      </c>
      <c r="P19" s="43" t="s">
        <v>90</v>
      </c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5" t="s">
        <v>23</v>
      </c>
      <c r="AB19" s="44" t="s">
        <v>7</v>
      </c>
      <c r="AC19" s="46" t="s">
        <v>140</v>
      </c>
      <c r="AH19" s="45" t="s">
        <v>19</v>
      </c>
      <c r="AI19" s="44" t="s">
        <v>7</v>
      </c>
    </row>
    <row r="20" spans="1:36" x14ac:dyDescent="0.25">
      <c r="A20" s="45" t="s">
        <v>24</v>
      </c>
      <c r="B20" s="44" t="s">
        <v>7</v>
      </c>
      <c r="C20" s="43" t="s">
        <v>68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5" t="s">
        <v>20</v>
      </c>
      <c r="O20" s="44" t="s">
        <v>7</v>
      </c>
      <c r="P20" s="43" t="s">
        <v>89</v>
      </c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5" t="s">
        <v>24</v>
      </c>
      <c r="AB20" s="44" t="s">
        <v>7</v>
      </c>
      <c r="AC20" s="46" t="s">
        <v>141</v>
      </c>
      <c r="AH20" s="45" t="s">
        <v>20</v>
      </c>
      <c r="AI20" s="44" t="s">
        <v>7</v>
      </c>
    </row>
    <row r="21" spans="1:36" x14ac:dyDescent="0.25">
      <c r="A21" s="45" t="s">
        <v>25</v>
      </c>
      <c r="B21" s="44" t="s">
        <v>7</v>
      </c>
      <c r="C21" s="43" t="s">
        <v>69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5" t="s">
        <v>21</v>
      </c>
      <c r="O21" s="44" t="s">
        <v>7</v>
      </c>
      <c r="P21" s="43" t="s">
        <v>88</v>
      </c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5" t="s">
        <v>25</v>
      </c>
      <c r="AB21" s="44" t="s">
        <v>7</v>
      </c>
      <c r="AC21" s="46" t="s">
        <v>142</v>
      </c>
      <c r="AH21" s="45" t="s">
        <v>21</v>
      </c>
      <c r="AI21" s="44" t="s">
        <v>7</v>
      </c>
    </row>
    <row r="22" spans="1:36" x14ac:dyDescent="0.25">
      <c r="A22" s="45" t="s">
        <v>10</v>
      </c>
      <c r="B22" s="44" t="s">
        <v>7</v>
      </c>
      <c r="C22" s="47" t="s">
        <v>70</v>
      </c>
      <c r="D22" s="47"/>
      <c r="E22" s="47"/>
      <c r="F22" s="47"/>
      <c r="G22" s="47"/>
      <c r="H22" s="47"/>
      <c r="I22" s="43"/>
      <c r="J22" s="43"/>
      <c r="K22" s="43"/>
      <c r="L22" s="43"/>
      <c r="M22" s="43"/>
      <c r="N22" s="45" t="s">
        <v>15</v>
      </c>
      <c r="O22" s="44" t="s">
        <v>7</v>
      </c>
      <c r="P22" s="43" t="s">
        <v>87</v>
      </c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5" t="s">
        <v>10</v>
      </c>
      <c r="AB22" s="44" t="s">
        <v>7</v>
      </c>
      <c r="AC22" s="46" t="s">
        <v>143</v>
      </c>
      <c r="AH22" s="45" t="s">
        <v>15</v>
      </c>
      <c r="AI22" s="44" t="s">
        <v>7</v>
      </c>
      <c r="AJ22" t="s">
        <v>150</v>
      </c>
    </row>
    <row r="23" spans="1:36" x14ac:dyDescent="0.25">
      <c r="A23" s="45" t="s">
        <v>26</v>
      </c>
      <c r="B23" s="44" t="s">
        <v>7</v>
      </c>
      <c r="C23" s="43" t="s">
        <v>71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5" t="s">
        <v>35</v>
      </c>
      <c r="O23" s="44" t="s">
        <v>7</v>
      </c>
      <c r="P23" s="43" t="s">
        <v>86</v>
      </c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5" t="s">
        <v>26</v>
      </c>
      <c r="AB23" s="44" t="s">
        <v>7</v>
      </c>
      <c r="AC23" s="46"/>
      <c r="AH23" s="45" t="s">
        <v>35</v>
      </c>
      <c r="AI23" s="44" t="s">
        <v>7</v>
      </c>
    </row>
    <row r="24" spans="1:36" x14ac:dyDescent="0.25">
      <c r="A24" s="45" t="s">
        <v>27</v>
      </c>
      <c r="B24" s="44" t="s">
        <v>7</v>
      </c>
      <c r="C24" s="43" t="s">
        <v>72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5" t="s">
        <v>36</v>
      </c>
      <c r="O24" s="44" t="s">
        <v>7</v>
      </c>
      <c r="P24" s="43" t="s">
        <v>85</v>
      </c>
      <c r="Q24" s="43"/>
      <c r="R24" s="43"/>
      <c r="S24" s="43"/>
      <c r="T24" s="43"/>
      <c r="U24" s="47"/>
      <c r="V24" s="47"/>
      <c r="W24" s="47"/>
      <c r="X24" s="47"/>
      <c r="Y24" s="43"/>
      <c r="Z24" s="43"/>
      <c r="AA24" s="45" t="s">
        <v>27</v>
      </c>
      <c r="AB24" s="44" t="s">
        <v>7</v>
      </c>
      <c r="AC24" s="46" t="s">
        <v>131</v>
      </c>
      <c r="AH24" s="45" t="s">
        <v>36</v>
      </c>
      <c r="AI24" s="44" t="s">
        <v>7</v>
      </c>
    </row>
    <row r="25" spans="1:36" x14ac:dyDescent="0.25">
      <c r="A25" s="45" t="s">
        <v>28</v>
      </c>
      <c r="B25" s="44" t="s">
        <v>7</v>
      </c>
      <c r="C25" s="43" t="s">
        <v>73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5" t="s">
        <v>37</v>
      </c>
      <c r="O25" s="44" t="s">
        <v>7</v>
      </c>
      <c r="P25" s="43" t="s">
        <v>94</v>
      </c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5" t="s">
        <v>28</v>
      </c>
      <c r="AB25" s="44" t="s">
        <v>7</v>
      </c>
      <c r="AC25" s="43"/>
      <c r="AH25" s="45" t="s">
        <v>37</v>
      </c>
      <c r="AI25" s="44" t="s">
        <v>7</v>
      </c>
    </row>
    <row r="26" spans="1:36" x14ac:dyDescent="0.25">
      <c r="A26" s="45" t="s">
        <v>29</v>
      </c>
      <c r="B26" s="44" t="s">
        <v>7</v>
      </c>
      <c r="C26" s="43" t="s">
        <v>74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5" t="s">
        <v>38</v>
      </c>
      <c r="O26" s="44" t="s">
        <v>7</v>
      </c>
      <c r="P26" s="43" t="s">
        <v>128</v>
      </c>
      <c r="Q26" s="43"/>
      <c r="R26" s="43"/>
      <c r="S26" s="43"/>
      <c r="T26" s="43"/>
      <c r="U26" s="43"/>
      <c r="V26" s="43"/>
      <c r="W26" s="43"/>
      <c r="X26" s="43"/>
      <c r="Y26" s="45"/>
      <c r="Z26" s="44"/>
      <c r="AA26" s="45" t="s">
        <v>29</v>
      </c>
      <c r="AB26" s="44" t="s">
        <v>7</v>
      </c>
      <c r="AC26" s="43"/>
      <c r="AH26" s="45" t="s">
        <v>38</v>
      </c>
      <c r="AI26" s="44" t="s">
        <v>7</v>
      </c>
    </row>
    <row r="27" spans="1:36" x14ac:dyDescent="0.25">
      <c r="A27" s="45" t="s">
        <v>53</v>
      </c>
      <c r="B27" s="44" t="s">
        <v>7</v>
      </c>
      <c r="C27" s="43" t="s">
        <v>75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5" t="s">
        <v>39</v>
      </c>
      <c r="O27" s="44" t="s">
        <v>7</v>
      </c>
      <c r="P27" s="43" t="s">
        <v>97</v>
      </c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5" t="s">
        <v>53</v>
      </c>
      <c r="AB27" s="44" t="s">
        <v>7</v>
      </c>
      <c r="AC27" s="43"/>
      <c r="AH27" s="45" t="s">
        <v>39</v>
      </c>
      <c r="AI27" s="44" t="s">
        <v>7</v>
      </c>
    </row>
    <row r="28" spans="1:36" x14ac:dyDescent="0.25">
      <c r="A28" s="45" t="s">
        <v>54</v>
      </c>
      <c r="B28" s="44" t="s">
        <v>7</v>
      </c>
      <c r="C28" s="43" t="s">
        <v>80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5" t="s">
        <v>40</v>
      </c>
      <c r="O28" s="44" t="s">
        <v>7</v>
      </c>
      <c r="P28" s="43" t="s">
        <v>98</v>
      </c>
      <c r="Q28" s="43"/>
      <c r="R28" s="43"/>
      <c r="S28" s="43"/>
      <c r="T28" s="43"/>
      <c r="U28" s="43"/>
      <c r="V28" s="43"/>
      <c r="Z28" s="43"/>
      <c r="AA28" s="45" t="s">
        <v>54</v>
      </c>
      <c r="AB28" s="44" t="s">
        <v>7</v>
      </c>
      <c r="AC28" s="43" t="s">
        <v>138</v>
      </c>
      <c r="AH28" s="45" t="s">
        <v>40</v>
      </c>
      <c r="AI28" s="44" t="s">
        <v>7</v>
      </c>
    </row>
    <row r="29" spans="1:36" x14ac:dyDescent="0.25">
      <c r="A29" s="45" t="s">
        <v>55</v>
      </c>
      <c r="B29" s="44" t="s">
        <v>7</v>
      </c>
      <c r="C29" s="43" t="s">
        <v>81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5" t="s">
        <v>41</v>
      </c>
      <c r="O29" s="44" t="s">
        <v>7</v>
      </c>
      <c r="P29" s="43" t="s">
        <v>129</v>
      </c>
      <c r="Q29" s="43"/>
      <c r="R29" s="43"/>
      <c r="S29" s="43"/>
      <c r="T29" s="43"/>
      <c r="U29" s="43"/>
      <c r="V29" s="43"/>
      <c r="Z29" s="43"/>
      <c r="AA29" s="45" t="s">
        <v>55</v>
      </c>
      <c r="AB29" s="44" t="s">
        <v>7</v>
      </c>
      <c r="AC29" s="43"/>
      <c r="AH29" s="45" t="s">
        <v>41</v>
      </c>
      <c r="AI29" s="44" t="s">
        <v>7</v>
      </c>
      <c r="AJ29" t="s">
        <v>144</v>
      </c>
    </row>
    <row r="30" spans="1:36" x14ac:dyDescent="0.25">
      <c r="A30" s="45" t="s">
        <v>6</v>
      </c>
      <c r="B30" s="44" t="s">
        <v>7</v>
      </c>
      <c r="C30" s="43" t="s">
        <v>76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5" t="s">
        <v>42</v>
      </c>
      <c r="O30" s="44" t="s">
        <v>7</v>
      </c>
      <c r="P30" s="43" t="s">
        <v>99</v>
      </c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5" t="s">
        <v>6</v>
      </c>
      <c r="AB30" s="44" t="s">
        <v>7</v>
      </c>
      <c r="AC30" s="43"/>
      <c r="AH30" s="45" t="s">
        <v>42</v>
      </c>
      <c r="AI30" s="44" t="s">
        <v>7</v>
      </c>
      <c r="AJ30" t="s">
        <v>132</v>
      </c>
    </row>
    <row r="31" spans="1:36" x14ac:dyDescent="0.25">
      <c r="A31" s="45" t="s">
        <v>11</v>
      </c>
      <c r="B31" s="44" t="s">
        <v>7</v>
      </c>
      <c r="C31" s="43" t="s">
        <v>125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5" t="s">
        <v>43</v>
      </c>
      <c r="O31" s="44" t="s">
        <v>7</v>
      </c>
      <c r="P31" s="43" t="s">
        <v>100</v>
      </c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5" t="s">
        <v>11</v>
      </c>
      <c r="AB31" s="44" t="s">
        <v>7</v>
      </c>
      <c r="AC31" s="43" t="s">
        <v>136</v>
      </c>
      <c r="AH31" s="45" t="s">
        <v>43</v>
      </c>
      <c r="AI31" s="44" t="s">
        <v>7</v>
      </c>
    </row>
    <row r="32" spans="1:36" x14ac:dyDescent="0.25">
      <c r="A32" s="45" t="s">
        <v>8</v>
      </c>
      <c r="B32" s="44" t="s">
        <v>7</v>
      </c>
      <c r="C32" s="47" t="s">
        <v>78</v>
      </c>
      <c r="D32" s="47"/>
      <c r="E32" s="47"/>
      <c r="F32" s="47"/>
      <c r="G32" s="47"/>
      <c r="H32" s="47"/>
      <c r="I32" s="47"/>
      <c r="J32" s="47"/>
      <c r="K32" s="47"/>
      <c r="L32" s="47"/>
      <c r="M32" s="43"/>
      <c r="N32" s="45" t="s">
        <v>44</v>
      </c>
      <c r="O32" s="44" t="s">
        <v>7</v>
      </c>
      <c r="P32" s="43" t="s">
        <v>101</v>
      </c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5" t="s">
        <v>8</v>
      </c>
      <c r="AB32" s="44" t="s">
        <v>7</v>
      </c>
      <c r="AC32" s="43" t="s">
        <v>134</v>
      </c>
      <c r="AH32" s="45" t="s">
        <v>44</v>
      </c>
      <c r="AI32" s="44" t="s">
        <v>7</v>
      </c>
      <c r="AJ32" t="s">
        <v>149</v>
      </c>
    </row>
    <row r="33" spans="1:36" x14ac:dyDescent="0.25">
      <c r="A33" s="45" t="s">
        <v>56</v>
      </c>
      <c r="B33" s="44" t="s">
        <v>7</v>
      </c>
      <c r="C33" s="46" t="s">
        <v>79</v>
      </c>
      <c r="D33" s="46"/>
      <c r="E33" s="46"/>
      <c r="F33" s="46"/>
      <c r="G33" s="46"/>
      <c r="H33" s="46"/>
      <c r="I33" s="46"/>
      <c r="J33" s="46"/>
      <c r="K33" s="46"/>
      <c r="L33" s="46"/>
      <c r="M33" s="43"/>
      <c r="N33" s="45" t="s">
        <v>45</v>
      </c>
      <c r="O33" s="44" t="s">
        <v>7</v>
      </c>
      <c r="P33" s="43" t="s">
        <v>102</v>
      </c>
      <c r="Q33" s="43"/>
      <c r="R33" s="43"/>
      <c r="S33" s="43"/>
      <c r="T33" s="43"/>
      <c r="U33" s="43"/>
      <c r="V33" s="43"/>
      <c r="W33" s="43"/>
      <c r="X33" s="43"/>
      <c r="Y33" s="43"/>
      <c r="Z33" s="44"/>
      <c r="AA33" s="45" t="s">
        <v>56</v>
      </c>
      <c r="AB33" s="44" t="s">
        <v>7</v>
      </c>
      <c r="AC33" s="43" t="s">
        <v>130</v>
      </c>
      <c r="AH33" s="45" t="s">
        <v>45</v>
      </c>
      <c r="AI33" s="44" t="s">
        <v>7</v>
      </c>
    </row>
    <row r="34" spans="1:36" x14ac:dyDescent="0.25">
      <c r="A34" s="45" t="s">
        <v>57</v>
      </c>
      <c r="B34" s="44" t="s">
        <v>7</v>
      </c>
      <c r="C34" s="43" t="s">
        <v>82</v>
      </c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5" t="s">
        <v>46</v>
      </c>
      <c r="O34" s="44" t="s">
        <v>7</v>
      </c>
      <c r="P34" s="43" t="s">
        <v>103</v>
      </c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5" t="s">
        <v>57</v>
      </c>
      <c r="AB34" s="44" t="s">
        <v>7</v>
      </c>
      <c r="AC34" s="43"/>
      <c r="AH34" s="45" t="s">
        <v>46</v>
      </c>
      <c r="AI34" s="44" t="s">
        <v>7</v>
      </c>
    </row>
    <row r="35" spans="1:36" x14ac:dyDescent="0.25">
      <c r="A35" s="45" t="s">
        <v>9</v>
      </c>
      <c r="B35" s="44" t="s">
        <v>7</v>
      </c>
      <c r="C35" s="43" t="s">
        <v>77</v>
      </c>
      <c r="D35" s="43"/>
      <c r="E35" s="43"/>
      <c r="F35" s="43"/>
      <c r="G35" s="43"/>
      <c r="H35" s="43"/>
      <c r="I35" s="43"/>
      <c r="J35" s="43"/>
      <c r="K35" s="43"/>
      <c r="L35" s="43"/>
      <c r="M35" s="45"/>
      <c r="N35" s="44" t="s">
        <v>47</v>
      </c>
      <c r="O35" s="44" t="s">
        <v>7</v>
      </c>
      <c r="P35" s="47" t="s">
        <v>104</v>
      </c>
      <c r="Q35" s="47"/>
      <c r="R35" s="47"/>
      <c r="S35" s="47"/>
      <c r="T35" s="47"/>
      <c r="U35" s="47"/>
      <c r="V35" s="47"/>
      <c r="W35" s="47"/>
      <c r="X35" s="47"/>
      <c r="Y35" s="43"/>
      <c r="Z35" s="43"/>
      <c r="AA35" s="45" t="s">
        <v>9</v>
      </c>
      <c r="AB35" s="44" t="s">
        <v>7</v>
      </c>
      <c r="AC35" s="43"/>
      <c r="AH35" s="44" t="s">
        <v>47</v>
      </c>
      <c r="AI35" s="44" t="s">
        <v>7</v>
      </c>
      <c r="AJ35" t="s">
        <v>153</v>
      </c>
    </row>
    <row r="36" spans="1:36" x14ac:dyDescent="0.25">
      <c r="A36" s="45" t="s">
        <v>58</v>
      </c>
      <c r="B36" s="44" t="s">
        <v>7</v>
      </c>
      <c r="C36" s="43" t="s">
        <v>83</v>
      </c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5" t="s">
        <v>16</v>
      </c>
      <c r="O36" s="44" t="s">
        <v>7</v>
      </c>
      <c r="P36" s="43" t="s">
        <v>92</v>
      </c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5" t="s">
        <v>58</v>
      </c>
      <c r="AB36" s="44" t="s">
        <v>7</v>
      </c>
      <c r="AC36" s="43" t="s">
        <v>135</v>
      </c>
      <c r="AH36" s="45" t="s">
        <v>16</v>
      </c>
      <c r="AI36" s="44" t="s">
        <v>7</v>
      </c>
      <c r="AJ36" t="s">
        <v>146</v>
      </c>
    </row>
    <row r="37" spans="1:36" x14ac:dyDescent="0.25">
      <c r="A37" s="45" t="s">
        <v>59</v>
      </c>
      <c r="B37" s="44" t="s">
        <v>7</v>
      </c>
      <c r="C37" s="43" t="s">
        <v>95</v>
      </c>
      <c r="D37" s="43"/>
      <c r="E37" s="43"/>
      <c r="F37" s="43"/>
      <c r="G37" s="43"/>
      <c r="H37" s="43"/>
      <c r="I37" s="43"/>
      <c r="J37" s="43"/>
      <c r="K37" s="43"/>
      <c r="L37" s="43"/>
      <c r="M37" s="45"/>
      <c r="N37" s="44" t="s">
        <v>48</v>
      </c>
      <c r="O37" s="44" t="s">
        <v>7</v>
      </c>
      <c r="P37" s="43" t="s">
        <v>105</v>
      </c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5" t="s">
        <v>59</v>
      </c>
      <c r="AB37" s="44" t="s">
        <v>7</v>
      </c>
      <c r="AC37" s="43"/>
      <c r="AH37" s="44" t="s">
        <v>48</v>
      </c>
      <c r="AI37" s="44" t="s">
        <v>7</v>
      </c>
      <c r="AJ37" t="s">
        <v>148</v>
      </c>
    </row>
    <row r="38" spans="1:36" x14ac:dyDescent="0.25">
      <c r="A38" s="45" t="s">
        <v>60</v>
      </c>
      <c r="B38" s="44" t="s">
        <v>7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5" t="s">
        <v>49</v>
      </c>
      <c r="O38" s="44" t="s">
        <v>7</v>
      </c>
      <c r="P38" s="43" t="s">
        <v>106</v>
      </c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5" t="s">
        <v>60</v>
      </c>
      <c r="AB38" s="44" t="s">
        <v>7</v>
      </c>
      <c r="AC38" s="43"/>
      <c r="AH38" s="45" t="s">
        <v>49</v>
      </c>
      <c r="AI38" s="44" t="s">
        <v>7</v>
      </c>
    </row>
    <row r="39" spans="1:36" x14ac:dyDescent="0.25">
      <c r="A39" s="45" t="s">
        <v>61</v>
      </c>
      <c r="B39" s="44" t="s">
        <v>7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5" t="s">
        <v>50</v>
      </c>
      <c r="O39" s="44" t="s">
        <v>7</v>
      </c>
      <c r="P39" s="43" t="s">
        <v>107</v>
      </c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5" t="s">
        <v>61</v>
      </c>
      <c r="AB39" s="44" t="s">
        <v>7</v>
      </c>
      <c r="AC39" s="43"/>
      <c r="AH39" s="45" t="s">
        <v>50</v>
      </c>
      <c r="AI39" s="44" t="s">
        <v>7</v>
      </c>
      <c r="AJ39" t="s">
        <v>133</v>
      </c>
    </row>
    <row r="40" spans="1:36" x14ac:dyDescent="0.25">
      <c r="A40" s="45" t="s">
        <v>62</v>
      </c>
      <c r="B40" s="44" t="s">
        <v>7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5" t="s">
        <v>51</v>
      </c>
      <c r="O40" s="44" t="s">
        <v>7</v>
      </c>
      <c r="P40" s="43" t="s">
        <v>108</v>
      </c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5" t="s">
        <v>62</v>
      </c>
      <c r="AB40" s="44" t="s">
        <v>7</v>
      </c>
      <c r="AC40" s="43"/>
      <c r="AH40" s="45" t="s">
        <v>51</v>
      </c>
      <c r="AI40" s="44" t="s">
        <v>7</v>
      </c>
    </row>
    <row r="41" spans="1:36" x14ac:dyDescent="0.25">
      <c r="A41" s="45" t="s">
        <v>63</v>
      </c>
      <c r="B41" s="44" t="s">
        <v>7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5" t="s">
        <v>17</v>
      </c>
      <c r="O41" s="44" t="s">
        <v>7</v>
      </c>
      <c r="P41" s="43" t="s">
        <v>109</v>
      </c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5" t="s">
        <v>63</v>
      </c>
      <c r="AB41" s="44" t="s">
        <v>7</v>
      </c>
      <c r="AC41" s="43"/>
      <c r="AH41" s="45" t="s">
        <v>17</v>
      </c>
      <c r="AI41" s="44" t="s">
        <v>7</v>
      </c>
    </row>
    <row r="42" spans="1:36" x14ac:dyDescent="0.25">
      <c r="A42" s="45" t="s">
        <v>64</v>
      </c>
      <c r="B42" s="44" t="s">
        <v>7</v>
      </c>
      <c r="C42" s="43" t="s">
        <v>96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5" t="s">
        <v>14</v>
      </c>
      <c r="O42" s="44" t="s">
        <v>7</v>
      </c>
      <c r="P42" s="47" t="s">
        <v>93</v>
      </c>
      <c r="Q42" s="47"/>
      <c r="R42" s="47"/>
      <c r="S42" s="47"/>
      <c r="T42" s="47"/>
      <c r="U42" s="47"/>
      <c r="V42" s="47"/>
      <c r="W42" s="47"/>
      <c r="X42" s="47"/>
      <c r="Y42" s="47"/>
      <c r="Z42" s="43"/>
      <c r="AA42" s="45" t="s">
        <v>64</v>
      </c>
      <c r="AB42" s="44" t="s">
        <v>7</v>
      </c>
      <c r="AC42" s="43"/>
      <c r="AH42" s="45" t="s">
        <v>14</v>
      </c>
      <c r="AI42" s="44" t="s">
        <v>7</v>
      </c>
      <c r="AJ42" t="s">
        <v>145</v>
      </c>
    </row>
    <row r="43" spans="1:36" x14ac:dyDescent="0.25">
      <c r="A43" s="45" t="s">
        <v>65</v>
      </c>
      <c r="B43" s="44" t="s">
        <v>7</v>
      </c>
      <c r="C43" s="43" t="s">
        <v>84</v>
      </c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5" t="s">
        <v>52</v>
      </c>
      <c r="O43" s="44" t="s">
        <v>7</v>
      </c>
      <c r="P43" s="43" t="s">
        <v>110</v>
      </c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5" t="s">
        <v>65</v>
      </c>
      <c r="AB43" s="44" t="s">
        <v>7</v>
      </c>
      <c r="AC43" s="43"/>
      <c r="AH43" s="45" t="s">
        <v>52</v>
      </c>
      <c r="AI43" s="44" t="s">
        <v>7</v>
      </c>
    </row>
    <row r="44" spans="1:36" x14ac:dyDescent="0.25">
      <c r="A44" s="45"/>
      <c r="B44" s="45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5"/>
      <c r="O44" s="44" t="s">
        <v>7</v>
      </c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5"/>
      <c r="AB44" s="45"/>
      <c r="AC44" s="43"/>
      <c r="AH44" s="45"/>
      <c r="AI44" s="44" t="s">
        <v>7</v>
      </c>
    </row>
    <row r="45" spans="1:36" x14ac:dyDescent="0.25">
      <c r="A45" s="45" t="s">
        <v>111</v>
      </c>
      <c r="B45" s="44" t="s">
        <v>7</v>
      </c>
      <c r="C45" s="43" t="s">
        <v>117</v>
      </c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5" t="s">
        <v>123</v>
      </c>
      <c r="O45" s="44" t="s">
        <v>7</v>
      </c>
      <c r="P45" s="43" t="s">
        <v>124</v>
      </c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5" t="s">
        <v>111</v>
      </c>
      <c r="AB45" s="44" t="s">
        <v>7</v>
      </c>
      <c r="AC45" s="43"/>
      <c r="AH45" s="45" t="s">
        <v>123</v>
      </c>
      <c r="AI45" s="44" t="s">
        <v>7</v>
      </c>
    </row>
    <row r="46" spans="1:36" x14ac:dyDescent="0.25">
      <c r="A46" s="45" t="s">
        <v>112</v>
      </c>
      <c r="B46" s="44" t="s">
        <v>7</v>
      </c>
      <c r="C46" s="43" t="s">
        <v>118</v>
      </c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5" t="s">
        <v>126</v>
      </c>
      <c r="O46" s="44" t="s">
        <v>7</v>
      </c>
      <c r="P46" s="43" t="s">
        <v>127</v>
      </c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5" t="s">
        <v>112</v>
      </c>
      <c r="AB46" s="44" t="s">
        <v>7</v>
      </c>
      <c r="AC46" s="43"/>
      <c r="AH46" s="45" t="s">
        <v>126</v>
      </c>
      <c r="AI46" s="44" t="s">
        <v>7</v>
      </c>
      <c r="AJ46" t="s">
        <v>151</v>
      </c>
    </row>
    <row r="47" spans="1:36" x14ac:dyDescent="0.25">
      <c r="A47" s="45" t="s">
        <v>113</v>
      </c>
      <c r="B47" s="44" t="s">
        <v>7</v>
      </c>
      <c r="C47" s="43" t="s">
        <v>119</v>
      </c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5"/>
      <c r="O47" s="44" t="s">
        <v>7</v>
      </c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5" t="s">
        <v>113</v>
      </c>
      <c r="AB47" s="44" t="s">
        <v>7</v>
      </c>
      <c r="AC47" s="43"/>
      <c r="AH47" s="45" t="s">
        <v>154</v>
      </c>
      <c r="AI47" s="45" t="s">
        <v>7</v>
      </c>
      <c r="AJ47" t="s">
        <v>155</v>
      </c>
    </row>
    <row r="48" spans="1:36" x14ac:dyDescent="0.25">
      <c r="A48" s="45" t="s">
        <v>114</v>
      </c>
      <c r="B48" s="44" t="s">
        <v>7</v>
      </c>
      <c r="C48" s="43" t="s">
        <v>120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5"/>
      <c r="O48" s="44" t="s">
        <v>7</v>
      </c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5" t="s">
        <v>114</v>
      </c>
      <c r="AB48" s="44" t="s">
        <v>7</v>
      </c>
      <c r="AC48" s="43"/>
    </row>
    <row r="49" spans="1:29" x14ac:dyDescent="0.25">
      <c r="A49" s="45" t="s">
        <v>115</v>
      </c>
      <c r="B49" s="44" t="s">
        <v>7</v>
      </c>
      <c r="C49" s="43" t="s">
        <v>121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5"/>
      <c r="O49" s="44" t="s">
        <v>7</v>
      </c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5" t="s">
        <v>115</v>
      </c>
      <c r="AB49" s="44" t="s">
        <v>7</v>
      </c>
      <c r="AC49" s="43"/>
    </row>
    <row r="50" spans="1:29" x14ac:dyDescent="0.25">
      <c r="A50" s="45" t="s">
        <v>116</v>
      </c>
      <c r="B50" s="44" t="s">
        <v>7</v>
      </c>
      <c r="C50" s="43" t="s">
        <v>122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5"/>
      <c r="O50" s="44" t="s">
        <v>7</v>
      </c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5" t="s">
        <v>116</v>
      </c>
      <c r="AB50" s="44" t="s">
        <v>7</v>
      </c>
      <c r="AC50" s="43"/>
    </row>
    <row r="51" spans="1:29" x14ac:dyDescent="0.25">
      <c r="A51" s="45"/>
      <c r="B51" s="45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5"/>
      <c r="O51" s="44" t="s">
        <v>7</v>
      </c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</row>
    <row r="52" spans="1:29" x14ac:dyDescent="0.25">
      <c r="A52" s="45"/>
      <c r="B52" s="45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4" t="s">
        <v>7</v>
      </c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9" x14ac:dyDescent="0.25">
      <c r="A53" s="45"/>
      <c r="B53" s="45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4" t="s">
        <v>7</v>
      </c>
      <c r="P53" s="43"/>
      <c r="Q53" s="43"/>
      <c r="R53" s="43"/>
      <c r="S53" s="43"/>
      <c r="T53" s="43"/>
      <c r="U53" s="43"/>
      <c r="V53" s="43"/>
    </row>
    <row r="54" spans="1:29" x14ac:dyDescent="0.25">
      <c r="A54" s="45"/>
      <c r="B54" s="45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5"/>
      <c r="O54" s="45"/>
      <c r="P54" s="43"/>
      <c r="Q54" s="43"/>
      <c r="R54" s="43"/>
      <c r="S54" s="43"/>
      <c r="T54" s="43"/>
      <c r="U54" s="43"/>
      <c r="V54" s="43"/>
    </row>
    <row r="55" spans="1:29" x14ac:dyDescent="0.25">
      <c r="A55" s="45"/>
      <c r="B55" s="45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5"/>
      <c r="O55" s="45"/>
      <c r="P55" s="43"/>
      <c r="Q55" s="43"/>
      <c r="R55" s="43"/>
      <c r="S55" s="43"/>
      <c r="T55" s="43"/>
      <c r="U55" s="43"/>
      <c r="V55" s="43"/>
    </row>
    <row r="56" spans="1:29" x14ac:dyDescent="0.25">
      <c r="A56" s="45"/>
      <c r="B56" s="45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</row>
    <row r="57" spans="1:29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</row>
    <row r="58" spans="1:29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</row>
  </sheetData>
  <mergeCells count="8">
    <mergeCell ref="A3:A11"/>
    <mergeCell ref="A14:C14"/>
    <mergeCell ref="A13:C13"/>
    <mergeCell ref="Q2:Y2"/>
    <mergeCell ref="P3:P11"/>
    <mergeCell ref="P13:R13"/>
    <mergeCell ref="P14:R14"/>
    <mergeCell ref="B2:J2"/>
  </mergeCells>
  <conditionalFormatting sqref="R4:Y11 C4:J11">
    <cfRule type="beginsWith" dxfId="0" priority="1" operator="beginsWith" text="X">
      <formula>LEFT(C4,LEN("X"))="X"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WAPA DOE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Moreno, Ricardo</dc:creator>
  <cp:lastModifiedBy>Ricardo Moreno</cp:lastModifiedBy>
  <dcterms:created xsi:type="dcterms:W3CDTF">2018-04-18T16:36:13Z</dcterms:created>
  <dcterms:modified xsi:type="dcterms:W3CDTF">2018-04-27T01:39:50Z</dcterms:modified>
</cp:coreProperties>
</file>